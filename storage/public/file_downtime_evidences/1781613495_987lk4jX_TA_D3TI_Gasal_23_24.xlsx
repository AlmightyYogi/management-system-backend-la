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ihan final" sheetId="1" r:id="rId4"/>
    <sheet state="visible" name="Jadwal + Judul+SEMPRO TA1" sheetId="2" r:id="rId5"/>
    <sheet state="visible" name="Jadwal + Judul+SEMINAR TA1 (Fin" sheetId="3" r:id="rId6"/>
    <sheet state="visible" name="TA2 Jadwal + Judul+PRASIDANG TA" sheetId="4" r:id="rId7"/>
    <sheet state="visible" name="TA2 Jadwal + Judul+SIDANG TA2(F" sheetId="5" r:id="rId8"/>
  </sheets>
  <definedNames/>
  <calcPr/>
  <extLst>
    <ext uri="GoogleSheetsCustomDataVersion2">
      <go:sheetsCustomData xmlns:go="http://customooxmlschemas.google.com/" r:id="rId9" roundtripDataChecksum="l2DX+KlTfGgo9XwxhyF95+8tsbZAFNliwq3eTsNuwb0="/>
    </ext>
  </extLst>
</workbook>
</file>

<file path=xl/sharedStrings.xml><?xml version="1.0" encoding="utf-8"?>
<sst xmlns="http://schemas.openxmlformats.org/spreadsheetml/2006/main" count="1641" uniqueCount="307">
  <si>
    <t>NO KELOMPOK</t>
  </si>
  <si>
    <t>NAMA</t>
  </si>
  <si>
    <t>NIM</t>
  </si>
  <si>
    <t>Interest Topik</t>
  </si>
  <si>
    <t>Jenis (Mobile/Website)</t>
  </si>
  <si>
    <t>TOPIK/IDE 1</t>
  </si>
  <si>
    <t>Pembimbing 1</t>
  </si>
  <si>
    <t>Pembimbing 2</t>
  </si>
  <si>
    <t>Dame Rumapea</t>
  </si>
  <si>
    <t>Artificial Inteligence, Machine Learning</t>
  </si>
  <si>
    <t>To be discuss</t>
  </si>
  <si>
    <t>Penerapan task Rekomendasi pada kecerdasan buatan untuk percepatan pembangunan infrastruktur di Sumatra Utara (sub judul dan Algoritma yang dipakai akan di diskusikan)</t>
  </si>
  <si>
    <t>TAP</t>
  </si>
  <si>
    <t>Hans Karo Sekali</t>
  </si>
  <si>
    <t>Albert Manik</t>
  </si>
  <si>
    <t>Penerapan algoritma machine learning dan peranan data analitik dalam hilirisasi produk pertanian di Indonesia atau Sumatra Utara (sub judul dan algoritma dan metode yang dipakai akan di diskusikan)</t>
  </si>
  <si>
    <t>TLG</t>
  </si>
  <si>
    <t>Herlina Purba</t>
  </si>
  <si>
    <t>Olyvia Siahaan</t>
  </si>
  <si>
    <t>Elsa K Silalahi</t>
  </si>
  <si>
    <t>Rekayasa Perangkat Lunak, Machine Learning</t>
  </si>
  <si>
    <t>website</t>
  </si>
  <si>
    <t>Penerapan Ontologi dalam Pencarian Program Studi Berbasis Web Semantik : Lanjutan TA19/20</t>
  </si>
  <si>
    <t>HER</t>
  </si>
  <si>
    <t>Renova Gultom</t>
  </si>
  <si>
    <t>Putra Manurung</t>
  </si>
  <si>
    <t>Agus Sitorus</t>
  </si>
  <si>
    <t>Machine Learning, Rekayasa Perangkat Lunak</t>
  </si>
  <si>
    <t>Website</t>
  </si>
  <si>
    <t>Pengembangan Aplikasi Rekomendasi Program Studi Perguruan Tinggi Negeri Berdasarkan Nilai Tryout Siswa Data : Tersedia</t>
  </si>
  <si>
    <t>GHP</t>
  </si>
  <si>
    <t>Benedict Tambunan</t>
  </si>
  <si>
    <t>Saimarito Simanullang</t>
  </si>
  <si>
    <t>Sandro Pangihutan Panjaitan</t>
  </si>
  <si>
    <t>Mobile</t>
  </si>
  <si>
    <t>Implementasi Face Generation Metode Generative Adversarial Network (GAN) pada Aplikasi absensi Mahasiswa Berbasis Lokasi (Studi Kasus: Prodi D3 Teknologi Informasi angkatan 2021)</t>
  </si>
  <si>
    <t>RCH</t>
  </si>
  <si>
    <t>Claudia Panjaitan</t>
  </si>
  <si>
    <t>Putri Wita Marito. N</t>
  </si>
  <si>
    <t>Rian Shaputra</t>
  </si>
  <si>
    <t>Penerapan machine learning pada penjadwalan Sekolah Dasar</t>
  </si>
  <si>
    <t>IFY</t>
  </si>
  <si>
    <t>Yohana Tambunan</t>
  </si>
  <si>
    <t>Lovinta Hutagalung</t>
  </si>
  <si>
    <t>Yudhi Purba</t>
  </si>
  <si>
    <t>Mobile/Website</t>
  </si>
  <si>
    <t>1. Parameter Tuning Pada Klasifikasi Penyakit Diabetic Retinopathy menggunakan Metode Grid Search</t>
  </si>
  <si>
    <t>Fransiska Simanungkalit</t>
  </si>
  <si>
    <t>Herbeth Augustinus Napitupulu</t>
  </si>
  <si>
    <t>Hiskia Parhusip</t>
  </si>
  <si>
    <t>Cryptography and Information Security</t>
  </si>
  <si>
    <t>To Be Announced</t>
  </si>
  <si>
    <t>Penerapan Algoritme CRYSTALS-Dilithium: Digital Signature Scheme untuk Verifikasi Keabsahan File Digital</t>
  </si>
  <si>
    <t>TNT</t>
  </si>
  <si>
    <t>Megaria Napitupulu</t>
  </si>
  <si>
    <t>Maria Giawa</t>
  </si>
  <si>
    <t>Lawy L.Gaol</t>
  </si>
  <si>
    <t>Penerapan GA pada penjadwalan Seminar TA Prodi D3TI</t>
  </si>
  <si>
    <t>Ricky Samosir</t>
  </si>
  <si>
    <t>Gavin Nababan</t>
  </si>
  <si>
    <t>Horas Marolop Amsal Siregar</t>
  </si>
  <si>
    <t>Penerapan blockchain network dan algoritma kecerdasan buatan dalam inovasi teknologi sektor keuangan (sub judul, analisa blockchain dan algoritma akan di diskuikan)</t>
  </si>
  <si>
    <t>Angelica Theresia Manurung</t>
  </si>
  <si>
    <t>Luana Breka Banjarnahor</t>
  </si>
  <si>
    <t>Christian Benedict Lumbantoruan</t>
  </si>
  <si>
    <t>Penerapan algoritma klasifikasi untuk prediksi cuaca</t>
  </si>
  <si>
    <t>Theresia Herlita Sinaga</t>
  </si>
  <si>
    <t>Sarah Elfiana Tobing</t>
  </si>
  <si>
    <t>Akdes Simon Simamora</t>
  </si>
  <si>
    <t>Optimasi model dengan Image Generation Pada Aplikasi Berbasis Mobile untuk Pengklasifikasian Tanaman Hias Jenis Keladi Menggunakan Algoritma CNN</t>
  </si>
  <si>
    <t>Amanda Artha Regina Simbolon</t>
  </si>
  <si>
    <t>Ester Krismayani Sinaga</t>
  </si>
  <si>
    <t>Yoas Sahat Marulitua Hutapea</t>
  </si>
  <si>
    <t>Analis Perbandingan Algoritma Klasifikasi (SVM, Naive Bayes, Decision Tree, KNN, dll)</t>
  </si>
  <si>
    <t>Julianti Sitorus</t>
  </si>
  <si>
    <t>Rahel A Vega Sianipar</t>
  </si>
  <si>
    <t>Rosa Linda Manik</t>
  </si>
  <si>
    <t>Prototype</t>
  </si>
  <si>
    <t>Text Detection Berdasarkan Gambar (Studi Kasus: Gambar Aksara Batak)</t>
  </si>
  <si>
    <t>MPR</t>
  </si>
  <si>
    <t>Theofil Nainggolan</t>
  </si>
  <si>
    <t>Yosafat Hazael Tambun</t>
  </si>
  <si>
    <t>Suandika Napitupulu</t>
  </si>
  <si>
    <t>Pencarian Jarak Terdekat Destinasi Wisata di Samosir menggunakan Graph Neural Network (GNN)</t>
  </si>
  <si>
    <t>Ester Simamora</t>
  </si>
  <si>
    <t>Emy Sinambela</t>
  </si>
  <si>
    <t>Tesya Nopiana Siahaan</t>
  </si>
  <si>
    <t>Pengembangan Smart Chatbot untuk Layanan SPMB (Studi Kasus: SPMB IT Del)</t>
  </si>
  <si>
    <t>Elsaday Sianturi</t>
  </si>
  <si>
    <t>Fritz Tri Yofanka Anggito Marpaung</t>
  </si>
  <si>
    <t>Samuel Siahaan</t>
  </si>
  <si>
    <t>Penerapan algoritma machine learning dan big data dalam optimasi data sektor pangan di Indonesia (sub judul dan algoritma yang dipakai akan di diskusikan)</t>
  </si>
  <si>
    <t>Refina Marpaung</t>
  </si>
  <si>
    <t>Mesya Angeliqa Hutagalung</t>
  </si>
  <si>
    <t>Samuel Sibuea</t>
  </si>
  <si>
    <t xml:space="preserve">Rekayasa Perangkat Lunak
</t>
  </si>
  <si>
    <t>to be discussed</t>
  </si>
  <si>
    <t>Pembangunan aplikasi X dengan metode waterfall</t>
  </si>
  <si>
    <t>Yoseplin Anggunsari Hutauruk</t>
  </si>
  <si>
    <t>Novrael Gabriel Marbun</t>
  </si>
  <si>
    <t>Cici Yanti Lubis</t>
  </si>
  <si>
    <t>mobile</t>
  </si>
  <si>
    <t>Rancang Bangun Mobile Application Donation Care dengan Metode Prototyping : Studi Kasus Institut Teknologi Del (ITDel) : Lanjutan TA sebelumnya, kel 11</t>
  </si>
  <si>
    <t>Juan Carlos Munthe</t>
  </si>
  <si>
    <t>Yosevyn Reginae Sipahutar</t>
  </si>
  <si>
    <t>Krisna Saragih</t>
  </si>
  <si>
    <t>1. Penerapan NTRU Cryptosystem (Studi Kasus: Enkripsi File Digital)</t>
  </si>
  <si>
    <t>Albert Aritonang</t>
  </si>
  <si>
    <t>Marianne Wensesla</t>
  </si>
  <si>
    <t>Josua Siregar</t>
  </si>
  <si>
    <t>1. Penerapan algoritma machine learning untuk rekomendasi produk (case study)</t>
  </si>
  <si>
    <t>Santa Bundaresha Sinaga</t>
  </si>
  <si>
    <t>Elisa Regina Simanjuntak</t>
  </si>
  <si>
    <t>Gabriel Sigalingging</t>
  </si>
  <si>
    <t>Prototype Website</t>
  </si>
  <si>
    <t>Estimasi Tujuan Penumpang Dengan Menggunakan Predictive Model
 (Studi Kasus : Data Penumpang Transjakarta)
 Data : Tersedia</t>
  </si>
  <si>
    <t>Dafne Yosephine</t>
  </si>
  <si>
    <t>Mega Marbun</t>
  </si>
  <si>
    <t>Maryono Marapaung</t>
  </si>
  <si>
    <t>Penerapan algoritma machine learning untuk prediksi suhu udara</t>
  </si>
  <si>
    <t>Boy Tri Anugrah</t>
  </si>
  <si>
    <t>Sio Alexandra Siahaan</t>
  </si>
  <si>
    <t>Nicolas Napitupulu</t>
  </si>
  <si>
    <t>Rancang Bangun Sistem Informasi Tugas Akhir Berbasis Web dengan Metode Prototyping ( Studi Kasus : D3 Teknologi Informasi ) : Lanjutan TA sebelumnya, kel 02</t>
  </si>
  <si>
    <t>Frayogi Sitorus</t>
  </si>
  <si>
    <t>Yosephine Siburian</t>
  </si>
  <si>
    <t>Penguji 1</t>
  </si>
  <si>
    <t>Penguji 2</t>
  </si>
  <si>
    <t>Hari</t>
  </si>
  <si>
    <t>Pukul</t>
  </si>
  <si>
    <t>Ruangan</t>
  </si>
  <si>
    <t>Implementasi Algoritma Regresi Linear Berganda untuk Prediksi Harga Infrastruktur Perumahan</t>
  </si>
  <si>
    <t>Jumat, 03 November 2023</t>
  </si>
  <si>
    <t>15:00-16:00</t>
  </si>
  <si>
    <t>Vokasi Lt. 1</t>
  </si>
  <si>
    <t>Jumat, 03 Nov 2023</t>
  </si>
  <si>
    <t>&gt; 14:00 WIB</t>
  </si>
  <si>
    <t>Penerapan Algoritma Random Forest Untuk Memprediksi Hasil Panen Jagung di Toba Samosir Berbasis Website</t>
  </si>
  <si>
    <t>Selasa, 31 Okt 2023</t>
  </si>
  <si>
    <t>10.00-11.00</t>
  </si>
  <si>
    <t>telat kasih proposal</t>
  </si>
  <si>
    <t>Kamis, 26 Oktober 2023</t>
  </si>
  <si>
    <t>sebelumnya Selasa, 24 Okt 2023 pkl 15.00-16.00</t>
  </si>
  <si>
    <t>Kamis, 26 Okt 2023</t>
  </si>
  <si>
    <t>13.00-14.00</t>
  </si>
  <si>
    <t>Vokasi Lt.1</t>
  </si>
  <si>
    <t>sebelumnya Selasa, 24 Okt 2023 16.00-17.00</t>
  </si>
  <si>
    <t>Jumat, 27 Okt 2023</t>
  </si>
  <si>
    <t>Penerapan Algoritma Genetika untuk Penjadwalan Mata Pelajaran (Studi Kasus: SDN Sitorus Godang)</t>
  </si>
  <si>
    <t>11.00-12.00</t>
  </si>
  <si>
    <t>Rabu, 25 Okt 2023</t>
  </si>
  <si>
    <t>09.00-10.00</t>
  </si>
  <si>
    <t>17:00-18:00</t>
  </si>
  <si>
    <t>Rabu,25 Okt 2023</t>
  </si>
  <si>
    <t>Perbandingan algoritma menggunakan Particle Swarm Optimization (PSO) dan Long Short Term Memory (LSTM) untuk memprediksi harga bitcoin</t>
  </si>
  <si>
    <t>14.00-15.00</t>
  </si>
  <si>
    <t>Implementasi Artificial Neural Network untuk Prediksi Cuaca  di Denpasar Bali</t>
  </si>
  <si>
    <t xml:space="preserve">Vokasi Lt.1 </t>
  </si>
  <si>
    <t>sebelumnya Selasa, 24 Okt 2023  11.00-12.00 (salah satu penguji nggak bs)</t>
  </si>
  <si>
    <t>Analisis Perbandingan Algoritma Klasifikasi SVM, Naive Bayes dan Decision Tree (Subject Area Life Science)</t>
  </si>
  <si>
    <t>Rabu, 01 Nov 2023</t>
  </si>
  <si>
    <t>Pengembangan Aplikasi Translator Bahasa Batak ke Aksara Batak</t>
  </si>
  <si>
    <t>16:00-17:00</t>
  </si>
  <si>
    <t>Perancangan Prototype Sistem Cerdas Wisata Samosir Menggunakan Algoritma A* dan SMART</t>
  </si>
  <si>
    <t>14.30-15.30</t>
  </si>
  <si>
    <t>Pengembangan Chatbot FAQ (Frequently Asked Questions) berbasis Website untuk Layanan SPMB menggunakan metode NLP (Natural Language Processing) - Studi Kasus: SPMB IT Del</t>
  </si>
  <si>
    <t xml:space="preserve">Prediksi Produktivitas Pangan Padi di Indonesia Menggunakan Metode Apache Spark Berbasis Website </t>
  </si>
  <si>
    <t>16.00-17.00</t>
  </si>
  <si>
    <t xml:space="preserve">Implementasi Convolutional Neural Network (CNN) untuk Klasifikasi Jenis Strawberry Berdasarkan Citra Visual </t>
  </si>
  <si>
    <t xml:space="preserve">Pengembangan Sistem Pendukung Keputusan Penentuan Penerima Beasiswa Berbasis Web dengan Metode Topsis dan AHP </t>
  </si>
  <si>
    <t>17.00-18.00</t>
  </si>
  <si>
    <t>Vokasi Lt.2</t>
  </si>
  <si>
    <t>berubah dari Senin, 23 Okt (menyesuaikan ke jadwal penguji)</t>
  </si>
  <si>
    <t>JHS</t>
  </si>
  <si>
    <t>FST</t>
  </si>
  <si>
    <t>17:30-18:30</t>
  </si>
  <si>
    <t>berubah dari Senin, 23 Okt jadi 27 Okt</t>
  </si>
  <si>
    <t>perubahan ruangan ke dari lt2</t>
  </si>
  <si>
    <t>17-18</t>
  </si>
  <si>
    <t>Estimasi Tujuan Penumpang Dengan Menggunakan Predictive Model  (Studi Kasus : Data Penumpang Transjakarta) Data : Tersedia</t>
  </si>
  <si>
    <t>15.00-16.00</t>
  </si>
  <si>
    <t>berubah dari 25 okt ke 26 okt</t>
  </si>
  <si>
    <t>berubah dari Selasa, 24 Okt 2023 pkl 17:00-18:00</t>
  </si>
  <si>
    <t>Pembimbing</t>
  </si>
  <si>
    <t>Jumlah</t>
  </si>
  <si>
    <t>TOPIK FINAL</t>
  </si>
  <si>
    <t>Link Zoom</t>
  </si>
  <si>
    <t xml:space="preserve">Host </t>
  </si>
  <si>
    <t>IMPLEMENTASI ALGORITMA REGRESI LINEAR BERGANDA UNTUK PREDIKSI HARGA INFRASTRUKTUR PERUMAHAN DI TANGERANG SELATAN</t>
  </si>
  <si>
    <t>Penerapan Algoritma Random Forest Untuk Memprediksi Hasil Panen Jagung di Kabupaten Toba Berbasis Website</t>
  </si>
  <si>
    <t>https://us02web.zoom.us/j/81794260687?pwd=ZXg5WU5rV0Z3ZUY2b1ZUUGp1YnNHUT09</t>
  </si>
  <si>
    <t>Host 5</t>
  </si>
  <si>
    <t>diundur/bu TLG lagi berduka dari Selasa, 16 Januari 2024 jam 2</t>
  </si>
  <si>
    <t xml:space="preserve">Penerapan Ontologi dalam Pencarian Program Studi Berbasis Web Semantik </t>
  </si>
  <si>
    <t>ubah dari sebelumnya 17jan 09, 18 jan jam 8</t>
  </si>
  <si>
    <t>Implementasi Face Generation dengan Metode Generative Adversarial Network (GAN) pada Aplikasi Absensi Mahasiswa Berbasis Lokal  menggunakan Algoritma FaceNet (Studi Kasus: Prodi D3 Teknologi Informasi angkatan 2021</t>
  </si>
  <si>
    <t>Penerapan Algoritma Genetika untuk Penjadwalan Mata Pelajaran (Studi Kasus: SMAN 1 Siantar Narumonda)</t>
  </si>
  <si>
    <t>sebelumnya 16 januari 2023 jam 10</t>
  </si>
  <si>
    <t>sebelumnya selasa, 16 jan pkl 16</t>
  </si>
  <si>
    <t>https://us02web.zoom.us/j/85807997285?pwd=WGZTSkFqYTJYcUY5Q1YxUlVueDdFdz09</t>
  </si>
  <si>
    <t>diundur/bu TLG lagi berduka</t>
  </si>
  <si>
    <t xml:space="preserve">Klasifikasi Penyakit Diabetic Retinopathy Dengan Parameter Tuning Dalam Algoritma CNN Menggunakan Metode Grid Search
</t>
  </si>
  <si>
    <t>undur/ dari Jumat, 19 Jan 2024, pukul 10.00 -11.00</t>
  </si>
  <si>
    <t>berubah dari dosbing dari jam 9</t>
  </si>
  <si>
    <t>ubah dari 16 jan pkl 09</t>
  </si>
  <si>
    <t>https://us02web.zoom.us/j/87405957400?pwd=d3JmZzhoaHh2a1FVaVJLMkdrOE5zdz09</t>
  </si>
  <si>
    <t>Perbandingan performa LSTM dan PSO XGBoost untuk prediksi harga bitcoin</t>
  </si>
  <si>
    <t>rch</t>
  </si>
  <si>
    <t>IMPLEMENTASI OBJECT DETECTION DENGAN YOLOv5 DAN GAN PADA APLIKASI KLASIFIKASI TANAMAN HIAS JENIS KELADI BERBASIS MOBILE Menggunakan Algortima CNN</t>
  </si>
  <si>
    <t>Analisis Perbandingan Algoritma Klasifikasi Support Vector Machine, Decision Tree dan Naive Bayes untuk Dataset Diabetes Health Indicators</t>
  </si>
  <si>
    <t>IMPLEMENTASI ALGORITMA RULE BASED UNTUK TRANSLITERASI BAHASA BATAK TOBA KE AKSARA BATAK  TOBA BERBASIS MOBILE</t>
  </si>
  <si>
    <t>https://us02web.zoom.us/j/87803581304?pwd=SnFWd0VxQlZnYnp3RGR2bzAvRDdXQT09</t>
  </si>
  <si>
    <t>Pembangunan Aplikasi Rekomendasi Berbasis Mobile Pada Destinasi Wisata di sekitar Danau Toba Menggunakan Metode MOORA dengan Pembobotan ROC</t>
  </si>
  <si>
    <t>di ubah karena dosen penguji Tegar Arifin Prasetyo, S.Si., M.Si. ibadah</t>
  </si>
  <si>
    <t>Prediksi Produktivitas Pangan Padi di Indonesia Menggunakan Algoritma Decision Tree Regression dengan Apache Spark</t>
  </si>
  <si>
    <t>PENERAPAN ALGORTIMA CONVOLUTIONAL NEURAL NETWORK (CNN) UNTUK KLASIFIKASI PENYAKIT TANAMAN STRAWBERRY BERDASARKAN DAUN</t>
  </si>
  <si>
    <t>PENERAPAN SISTEM PENDUKUNG KEPUTUSAN PENERIMA BEASISWA BERBASIS WEBSITE DENGAN METODE    PREFERENCE SELECTION INDEX (PSI) (STUDI KASUS: IT DEL)</t>
  </si>
  <si>
    <t>mahasiswa yang bersangkutan sakit, masih akan dikabarkan kapan maju seminar</t>
  </si>
  <si>
    <t>sebelumnya kamis, 18 jan pkl 15</t>
  </si>
  <si>
    <t>sebelumnya jam 14</t>
  </si>
  <si>
    <t>Penerapan Algoritma Content-Based Filtering dan User Based Collaborative Filtering untuk Rekomendasi Produk Personal Care</t>
  </si>
  <si>
    <t>sebelumnya 19 jan, pkl 14:00</t>
  </si>
  <si>
    <t>her</t>
  </si>
  <si>
    <t>Implementasi algoritma Long Short Term Memory (LSTM) untuk prediksi suhu udara di kabupaten riau, pekanbaru</t>
  </si>
  <si>
    <t>https://us02web.zoom.us/j/81749599157?pwd=am5kK0J2OWx1dTJFdDkvZEJGMTRpZz09</t>
  </si>
  <si>
    <t>undur/dari selasa, 16 jan 2023, pkl 17</t>
  </si>
  <si>
    <t>undur</t>
  </si>
  <si>
    <t>undur/ dari Jumat, 19 Jan 2024, pukul 09.00 -10.00</t>
  </si>
  <si>
    <t xml:space="preserve">Re-engineering sistem informasi tugas akhir berbasis web dengan metode prototyping (studi kasus: Fakultas Vokasi) </t>
  </si>
  <si>
    <t>Sudah email melalui zimbra</t>
  </si>
  <si>
    <t>undur/ dari Jumat, 19 Jan 2024, pukul 08.00 -09.00</t>
  </si>
  <si>
    <t>Implementasi Object Detection dengan YOLOv5 dan GAN pada Aplikasi Klasifikasi Tanaman Hias Jenis Keladi berbasis Mobile Menggunakan Algortima CNN</t>
  </si>
  <si>
    <t>" Pengembangan sistem informasi tugas akhir berbasis website dengan metode prototyping (studi kasus: D3TI) "</t>
  </si>
  <si>
    <t>Penerapan algoritma machine learning untuk rekomendasi produk (case study)</t>
  </si>
  <si>
    <t>Prediksi Produktivitas Pangan Padi di Indonesia Menggunakan Metode Apache Spark Berbasis Website</t>
  </si>
  <si>
    <t>Prediksi Produktivitas Pangan Padi di Indonesia Menggunakan Algoritma Decision Tree Regression dengan Apache Spark</t>
  </si>
  <si>
    <t xml:space="preserve">Pengembangan sistem informasi tugas akhir berbasis web dengan metode prototyping (studi kasus: D3 Teknologi Informasi) </t>
  </si>
  <si>
    <t>Kamis, 28 Maret 2024</t>
  </si>
  <si>
    <t>11.00 - 12.30</t>
  </si>
  <si>
    <t>RMK</t>
  </si>
  <si>
    <t>Selasa, 26 Maret 2024</t>
  </si>
  <si>
    <t>09.30 - 11.00</t>
  </si>
  <si>
    <t>Senin, 25 Maret 2024</t>
  </si>
  <si>
    <t>17.00 - 18.30</t>
  </si>
  <si>
    <t>08.00 - 09.30</t>
  </si>
  <si>
    <t>selasa, 26 Maret 2024</t>
  </si>
  <si>
    <t>17:00-18:30</t>
  </si>
  <si>
    <t>17.00 -18:30</t>
  </si>
  <si>
    <t>18:30-19:00</t>
  </si>
  <si>
    <t>diundur</t>
  </si>
  <si>
    <t>kamis, 4 April 2024 pada jam 17.00 - 18.30</t>
  </si>
  <si>
    <t>Rabu, 27 Maret 2024</t>
  </si>
  <si>
    <t>14.00 - 15.30</t>
  </si>
  <si>
    <t>Implementasi Backpropagation Neural Network untuk prediksi curah hujan di bandara silangit</t>
  </si>
  <si>
    <t>IMPLEMENTASI OBJECT DETECTION DENGAN YOLOv5 DAN GAN PADA APLIKASI KLASIFIKASI TANAMAN HIAS JENIS KELADI BERBASIS MOBILE</t>
  </si>
  <si>
    <t>Senin, 01 April 2024</t>
  </si>
  <si>
    <t>17.00-18.30</t>
  </si>
  <si>
    <t>reschedule</t>
  </si>
  <si>
    <t>17:00-18-30</t>
  </si>
  <si>
    <t>jumat, 05 april 2024 pkl 09:00-10:30</t>
  </si>
  <si>
    <t>will be informed later on</t>
  </si>
  <si>
    <t>17.00-18:30</t>
  </si>
  <si>
    <t>15.30 - 17.00</t>
  </si>
  <si>
    <t xml:space="preserve">Rancang Bangun sistem informasi tugas akhir berbasis web dengan metode prototyping (studi kasus: Fakultas Vokasi) </t>
  </si>
  <si>
    <t>15.30-17.00</t>
  </si>
  <si>
    <t>Sunkrista Meyriana D Gultom</t>
  </si>
  <si>
    <t xml:space="preserve">Pengembangan website gereja HKI </t>
  </si>
  <si>
    <t>Total yang diuji</t>
  </si>
  <si>
    <t>Rabu, 24 Juli 2024</t>
  </si>
  <si>
    <t>14.00 - 15:30 WIB</t>
  </si>
  <si>
    <t>undur-tidak ada pemberitauan</t>
  </si>
  <si>
    <t>lama</t>
  </si>
  <si>
    <t xml:space="preserve"> rabu, 24 juli 2024 jam 14.00 - selesai</t>
  </si>
  <si>
    <t>Senin, 15 Juli 2024</t>
  </si>
  <si>
    <t>08.00 - 09.30 WIB</t>
  </si>
  <si>
    <t>09.30 - 11.00 WIB</t>
  </si>
  <si>
    <t>Selasa, 16 Juli 2024</t>
  </si>
  <si>
    <t>Senin, 22 Juli 2024</t>
  </si>
  <si>
    <t>10:00-11:30</t>
  </si>
  <si>
    <t>Vokasi Lt2</t>
  </si>
  <si>
    <t>Rabu, 17 Juli 2024</t>
  </si>
  <si>
    <t>08.00 - 9.30 WIB</t>
  </si>
  <si>
    <t>rmk</t>
  </si>
  <si>
    <t>undur 2 kali</t>
  </si>
  <si>
    <t>Jumat, 19 Juli 2024</t>
  </si>
  <si>
    <t>Kamis, 18 Juli 2024</t>
  </si>
  <si>
    <t xml:space="preserve">Jumat, 25 Juli 2024 </t>
  </si>
  <si>
    <t xml:space="preserve">26 Juli 2024 </t>
  </si>
  <si>
    <t>09.30 - 11. 00 WIB</t>
  </si>
  <si>
    <t xml:space="preserve">Kamis, 25 Juli 2024 </t>
  </si>
  <si>
    <t>10.00 - 11.30 WIB</t>
  </si>
  <si>
    <t>Jumat,19 Juli 2024</t>
  </si>
  <si>
    <t>16.00 - 17.30 WIB</t>
  </si>
  <si>
    <t>IMPLEMENTASI OBJECT DETECTION DENGAN YOLOv5 DAN GAN PADA APLIKASI KLASIFIKASI TANAMAN HIAS JENIS KELADI BERBASIS MOBILE MENGGUNAKAN ALGORITMA CNN</t>
  </si>
  <si>
    <t>13.00 - 14.30 WIB</t>
  </si>
  <si>
    <t>Kamis,18 Juli 2024</t>
  </si>
  <si>
    <t>14.30 - 16.00 WIB</t>
  </si>
  <si>
    <t>online</t>
  </si>
  <si>
    <t>Penerapan NTRU Cryptosystem (Studi Kasus: Enkripsi File Digital)</t>
  </si>
  <si>
    <t>GD Vokasi Lt. 1</t>
  </si>
  <si>
    <t xml:space="preserve">Kamis, 18 Juli 2024 </t>
  </si>
  <si>
    <t>17.30 - 19.00 WIB</t>
  </si>
  <si>
    <t>GD Vokasi Lt. 2</t>
  </si>
  <si>
    <t>Maryono Marpaung</t>
  </si>
  <si>
    <t>belum bisa maju</t>
  </si>
  <si>
    <t>11/07/2024</t>
  </si>
  <si>
    <t>Implementasi algoritma K-Nearest Neighbors (KNN) untuk prediksi rute terpadat (Studi Kasus: Data Penumpang Transjakarta)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</si>
</sst>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rgb="FF000000"/>
      <name val="Cambria"/>
    </font>
    <font>
      <sz val="12.0"/>
      <color theme="1"/>
      <name val="Cambria"/>
    </font>
    <font>
      <sz val="12.0"/>
      <color rgb="FF000000"/>
      <name val="Cambria"/>
    </font>
    <font/>
    <font>
      <color theme="1"/>
      <name val="Cambria"/>
    </font>
    <font>
      <sz val="11.0"/>
      <color theme="1"/>
      <name val="Cambria"/>
    </font>
    <font>
      <sz val="9.0"/>
      <color rgb="FF000000"/>
      <name val="Cambria"/>
    </font>
    <font>
      <color theme="1"/>
      <name val="Calibri"/>
      <scheme val="minor"/>
    </font>
    <font>
      <sz val="11.0"/>
      <color rgb="FF000000"/>
      <name val="Docs-Cambria"/>
    </font>
    <font>
      <sz val="11.0"/>
      <color rgb="FF000000"/>
      <name val="Calibri"/>
    </font>
    <font>
      <u/>
      <color rgb="FF0000FF"/>
    </font>
    <font>
      <u/>
      <color rgb="FF0563C1"/>
    </font>
    <font>
      <sz val="12.0"/>
      <color rgb="FF000000"/>
      <name val="&quot;times new roman&quot;"/>
    </font>
    <font>
      <sz val="9.0"/>
      <color rgb="FF000000"/>
      <name val="Docs-Cambria"/>
    </font>
    <font>
      <u/>
      <color rgb="FF0000FF"/>
    </font>
    <font>
      <sz val="11.0"/>
      <color rgb="FF000000"/>
      <name val="Docs-Calibri"/>
    </font>
    <font>
      <sz val="8.0"/>
      <color rgb="FF000000"/>
      <name val="Docs-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6" fillId="2" fontId="3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left" readingOrder="0" vertical="bottom"/>
    </xf>
    <xf borderId="0" fillId="4" fontId="1" numFmtId="0" xfId="0" applyAlignment="1" applyFill="1" applyFont="1">
      <alignment horizontal="center" readingOrder="0" vertical="bottom"/>
    </xf>
    <xf borderId="6" fillId="0" fontId="1" numFmtId="0" xfId="0" applyAlignment="1" applyBorder="1" applyFont="1">
      <alignment horizontal="center" shrinkToFit="0" vertical="bottom" wrapText="0"/>
    </xf>
    <xf borderId="4" fillId="0" fontId="4" numFmtId="0" xfId="0" applyBorder="1" applyFont="1"/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7" fillId="0" fontId="4" numFmtId="0" xfId="0" applyBorder="1" applyFont="1"/>
    <xf borderId="8" fillId="0" fontId="4" numFmtId="0" xfId="0" applyBorder="1" applyFont="1"/>
    <xf borderId="5" fillId="0" fontId="4" numFmtId="0" xfId="0" applyBorder="1" applyFont="1"/>
    <xf borderId="9" fillId="0" fontId="4" numFmtId="0" xfId="0" applyBorder="1" applyFont="1"/>
    <xf borderId="6" fillId="2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bottom" wrapText="0"/>
    </xf>
    <xf borderId="6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6" fillId="3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0" fillId="0" fontId="4" numFmtId="0" xfId="0" applyBorder="1" applyFont="1"/>
    <xf borderId="11" fillId="0" fontId="4" numFmtId="0" xfId="0" applyBorder="1" applyFont="1"/>
    <xf borderId="7" fillId="3" fontId="1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0" fontId="6" numFmtId="0" xfId="0" applyAlignment="1" applyBorder="1" applyFont="1">
      <alignment readingOrder="0"/>
    </xf>
    <xf borderId="7" fillId="5" fontId="7" numFmtId="0" xfId="0" applyAlignment="1" applyBorder="1" applyFill="1" applyFont="1">
      <alignment horizontal="left" readingOrder="0" vertical="bottom"/>
    </xf>
    <xf borderId="0" fillId="6" fontId="1" numFmtId="0" xfId="0" applyAlignment="1" applyFill="1" applyFont="1">
      <alignment horizontal="center" readingOrder="0" vertical="bottom"/>
    </xf>
    <xf borderId="6" fillId="6" fontId="1" numFmtId="0" xfId="0" applyAlignment="1" applyBorder="1" applyFont="1">
      <alignment horizontal="center" shrinkToFit="0" vertical="bottom" wrapText="0"/>
    </xf>
    <xf borderId="6" fillId="6" fontId="6" numFmtId="0" xfId="0" applyAlignment="1" applyBorder="1" applyFont="1">
      <alignment readingOrder="0"/>
    </xf>
    <xf borderId="6" fillId="6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7" fillId="3" fontId="7" numFmtId="0" xfId="0" applyAlignment="1" applyBorder="1" applyFont="1">
      <alignment horizontal="left" readingOrder="0" vertical="bottom"/>
    </xf>
    <xf borderId="4" fillId="6" fontId="1" numFmtId="0" xfId="0" applyAlignment="1" applyBorder="1" applyFont="1">
      <alignment horizontal="center" shrinkToFit="0" vertical="bottom" wrapText="0"/>
    </xf>
    <xf borderId="6" fillId="5" fontId="7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readingOrder="0"/>
    </xf>
    <xf borderId="4" fillId="4" fontId="1" numFmtId="0" xfId="0" applyAlignment="1" applyBorder="1" applyFont="1">
      <alignment horizontal="center" shrinkToFit="0" vertical="bottom" wrapText="0"/>
    </xf>
    <xf borderId="6" fillId="4" fontId="6" numFmtId="0" xfId="0" applyAlignment="1" applyBorder="1" applyFont="1">
      <alignment readingOrder="0"/>
    </xf>
    <xf borderId="7" fillId="3" fontId="7" numFmtId="0" xfId="0" applyAlignment="1" applyBorder="1" applyFont="1">
      <alignment horizontal="left" readingOrder="0" shrinkToFit="0" vertical="bottom" wrapText="0"/>
    </xf>
    <xf borderId="4" fillId="7" fontId="1" numFmtId="0" xfId="0" applyAlignment="1" applyBorder="1" applyFill="1" applyFont="1">
      <alignment horizontal="center" readingOrder="0" shrinkToFit="0" vertical="bottom" wrapText="0"/>
    </xf>
    <xf borderId="5" fillId="7" fontId="1" numFmtId="0" xfId="0" applyAlignment="1" applyBorder="1" applyFont="1">
      <alignment horizontal="center" readingOrder="0" shrinkToFit="0" vertical="bottom" wrapText="0"/>
    </xf>
    <xf borderId="5" fillId="7" fontId="1" numFmtId="0" xfId="0" applyAlignment="1" applyBorder="1" applyFont="1">
      <alignment readingOrder="0" shrinkToFit="0" vertical="bottom" wrapText="0"/>
    </xf>
    <xf borderId="6" fillId="7" fontId="2" numFmtId="0" xfId="0" applyAlignment="1" applyBorder="1" applyFont="1">
      <alignment horizontal="center" readingOrder="0" vertical="center"/>
    </xf>
    <xf borderId="7" fillId="7" fontId="7" numFmtId="0" xfId="0" applyAlignment="1" applyBorder="1" applyFont="1">
      <alignment horizontal="left" readingOrder="0" vertical="bottom"/>
    </xf>
    <xf borderId="0" fillId="7" fontId="3" numFmtId="0" xfId="0" applyAlignment="1" applyFont="1">
      <alignment horizontal="center" readingOrder="0" vertical="bottom"/>
    </xf>
    <xf borderId="6" fillId="7" fontId="6" numFmtId="0" xfId="0" applyAlignment="1" applyBorder="1" applyFont="1">
      <alignment readingOrder="0"/>
    </xf>
    <xf borderId="6" fillId="7" fontId="3" numFmtId="0" xfId="0" applyAlignment="1" applyBorder="1" applyFont="1">
      <alignment horizontal="center" readingOrder="0" vertical="center"/>
    </xf>
    <xf borderId="6" fillId="7" fontId="3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vertical="bottom"/>
    </xf>
    <xf borderId="0" fillId="6" fontId="9" numFmtId="0" xfId="0" applyAlignment="1" applyFont="1">
      <alignment horizontal="left" readingOrder="0"/>
    </xf>
    <xf borderId="0" fillId="0" fontId="8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readingOrder="0" vertical="bottom"/>
    </xf>
    <xf borderId="4" fillId="0" fontId="10" numFmtId="0" xfId="0" applyAlignment="1" applyBorder="1" applyFont="1">
      <alignment readingOrder="0" vertical="bottom"/>
    </xf>
    <xf borderId="0" fillId="0" fontId="11" numFmtId="0" xfId="0" applyAlignment="1" applyFont="1">
      <alignment readingOrder="0"/>
    </xf>
    <xf borderId="6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7" fillId="2" fontId="7" numFmtId="0" xfId="0" applyAlignment="1" applyBorder="1" applyFont="1">
      <alignment horizontal="left" readingOrder="0" vertical="bottom"/>
    </xf>
    <xf borderId="0" fillId="2" fontId="1" numFmtId="0" xfId="0" applyAlignment="1" applyFont="1">
      <alignment horizontal="center" readingOrder="0" vertical="bottom"/>
    </xf>
    <xf borderId="4" fillId="2" fontId="1" numFmtId="0" xfId="0" applyAlignment="1" applyBorder="1" applyFont="1">
      <alignment horizontal="center" shrinkToFit="0" vertical="bottom" wrapText="0"/>
    </xf>
    <xf borderId="6" fillId="2" fontId="6" numFmtId="0" xfId="0" applyAlignment="1" applyBorder="1" applyFont="1">
      <alignment readingOrder="0"/>
    </xf>
    <xf borderId="4" fillId="2" fontId="10" numFmtId="0" xfId="0" applyAlignment="1" applyBorder="1" applyFont="1">
      <alignment readingOrder="0" vertical="bottom"/>
    </xf>
    <xf borderId="7" fillId="0" fontId="7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2" fontId="1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readingOrder="0"/>
    </xf>
    <xf borderId="0" fillId="4" fontId="14" numFmtId="0" xfId="0" applyAlignment="1" applyFont="1">
      <alignment horizontal="left" readingOrder="0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bottom"/>
    </xf>
    <xf borderId="6" fillId="6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readingOrder="0" shrinkToFit="0" vertical="bottom" wrapText="0"/>
    </xf>
    <xf borderId="6" fillId="6" fontId="1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ont="1">
      <alignment horizontal="left" readingOrder="0" vertical="bottom"/>
    </xf>
    <xf borderId="6" fillId="6" fontId="1" numFmtId="0" xfId="0" applyAlignment="1" applyBorder="1" applyFont="1">
      <alignment horizontal="center" readingOrder="0" vertical="bottom"/>
    </xf>
    <xf borderId="6" fillId="6" fontId="10" numFmtId="0" xfId="0" applyAlignment="1" applyBorder="1" applyFont="1">
      <alignment readingOrder="0"/>
    </xf>
    <xf borderId="6" fillId="6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left" readingOrder="0" vertical="bottom"/>
    </xf>
    <xf borderId="6" fillId="0" fontId="1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readingOrder="0"/>
    </xf>
    <xf borderId="6" fillId="4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6" fillId="4" fontId="1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left" readingOrder="0" vertical="bottom"/>
    </xf>
    <xf borderId="6" fillId="4" fontId="1" numFmtId="0" xfId="0" applyAlignment="1" applyBorder="1" applyFont="1">
      <alignment horizontal="center" readingOrder="0" vertical="bottom"/>
    </xf>
    <xf borderId="6" fillId="4" fontId="1" numFmtId="0" xfId="0" applyAlignment="1" applyBorder="1" applyFont="1">
      <alignment horizontal="center" shrinkToFit="0" vertical="bottom" wrapText="0"/>
    </xf>
    <xf borderId="4" fillId="4" fontId="10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vertical="center"/>
    </xf>
    <xf borderId="6" fillId="8" fontId="1" numFmtId="0" xfId="0" applyAlignment="1" applyBorder="1" applyFill="1" applyFont="1">
      <alignment horizontal="center" readingOrder="0" shrinkToFit="0" vertical="bottom" wrapText="0"/>
    </xf>
    <xf borderId="1" fillId="8" fontId="1" numFmtId="0" xfId="0" applyAlignment="1" applyBorder="1" applyFont="1">
      <alignment horizontal="center" readingOrder="0" shrinkToFit="0" vertical="bottom" wrapText="0"/>
    </xf>
    <xf borderId="1" fillId="8" fontId="1" numFmtId="0" xfId="0" applyAlignment="1" applyBorder="1" applyFont="1">
      <alignment readingOrder="0" shrinkToFit="0" vertical="bottom" wrapText="0"/>
    </xf>
    <xf borderId="6" fillId="8" fontId="1" numFmtId="0" xfId="0" applyAlignment="1" applyBorder="1" applyFont="1">
      <alignment horizontal="center" readingOrder="0" shrinkToFit="0" vertical="center" wrapText="1"/>
    </xf>
    <xf borderId="6" fillId="8" fontId="1" numFmtId="0" xfId="0" applyAlignment="1" applyBorder="1" applyFont="1">
      <alignment horizontal="left" readingOrder="0" vertical="bottom"/>
    </xf>
    <xf borderId="6" fillId="8" fontId="1" numFmtId="0" xfId="0" applyAlignment="1" applyBorder="1" applyFont="1">
      <alignment horizontal="center" readingOrder="0" vertical="bottom"/>
    </xf>
    <xf borderId="6" fillId="8" fontId="1" numFmtId="0" xfId="0" applyAlignment="1" applyBorder="1" applyFont="1">
      <alignment horizontal="center" shrinkToFit="0" vertical="bottom" wrapText="0"/>
    </xf>
    <xf borderId="6" fillId="8" fontId="6" numFmtId="0" xfId="0" applyAlignment="1" applyBorder="1" applyFont="1">
      <alignment readingOrder="0"/>
    </xf>
    <xf borderId="4" fillId="8" fontId="10" numFmtId="0" xfId="0" applyAlignment="1" applyBorder="1" applyFont="1">
      <alignment readingOrder="0"/>
    </xf>
    <xf borderId="6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6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left" readingOrder="0" shrinkToFit="0" vertical="bottom" wrapText="0"/>
    </xf>
    <xf borderId="6" fillId="2" fontId="1" numFmtId="0" xfId="0" applyAlignment="1" applyBorder="1" applyFont="1">
      <alignment horizontal="left" readingOrder="0" vertical="bottom"/>
    </xf>
    <xf borderId="6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shrinkToFit="0" vertical="bottom" wrapText="0"/>
    </xf>
    <xf borderId="6" fillId="6" fontId="1" numFmtId="0" xfId="0" applyAlignment="1" applyBorder="1" applyFont="1">
      <alignment horizontal="center" readingOrder="0" vertical="center"/>
    </xf>
    <xf borderId="4" fillId="6" fontId="10" numFmtId="0" xfId="0" applyAlignment="1" applyBorder="1" applyFont="1">
      <alignment readingOrder="0"/>
    </xf>
    <xf borderId="6" fillId="9" fontId="1" numFmtId="0" xfId="0" applyAlignment="1" applyBorder="1" applyFill="1" applyFont="1">
      <alignment horizontal="center" readingOrder="0" shrinkToFit="0" vertical="bottom" wrapText="0"/>
    </xf>
    <xf borderId="1" fillId="9" fontId="1" numFmtId="0" xfId="0" applyAlignment="1" applyBorder="1" applyFont="1">
      <alignment horizontal="center" readingOrder="0" shrinkToFit="0" vertical="bottom" wrapText="0"/>
    </xf>
    <xf borderId="1" fillId="9" fontId="1" numFmtId="0" xfId="0" applyAlignment="1" applyBorder="1" applyFont="1">
      <alignment readingOrder="0" shrinkToFit="0" vertical="bottom" wrapText="0"/>
    </xf>
    <xf borderId="6" fillId="9" fontId="1" numFmtId="0" xfId="0" applyAlignment="1" applyBorder="1" applyFont="1">
      <alignment horizontal="center" readingOrder="0" vertical="center"/>
    </xf>
    <xf borderId="6" fillId="9" fontId="1" numFmtId="0" xfId="0" applyAlignment="1" applyBorder="1" applyFont="1">
      <alignment horizontal="center" readingOrder="0" shrinkToFit="0" vertical="center" wrapText="1"/>
    </xf>
    <xf borderId="6" fillId="9" fontId="1" numFmtId="0" xfId="0" applyAlignment="1" applyBorder="1" applyFont="1">
      <alignment horizontal="left" readingOrder="0" shrinkToFit="0" vertical="bottom" wrapText="0"/>
    </xf>
    <xf borderId="6" fillId="9" fontId="1" numFmtId="0" xfId="0" applyAlignment="1" applyBorder="1" applyFont="1">
      <alignment horizontal="center" shrinkToFit="0" vertical="bottom" wrapText="0"/>
    </xf>
    <xf borderId="6" fillId="9" fontId="6" numFmtId="0" xfId="0" applyAlignment="1" applyBorder="1" applyFont="1">
      <alignment readingOrder="0"/>
    </xf>
    <xf borderId="4" fillId="9" fontId="10" numFmtId="0" xfId="0" applyAlignment="1" applyBorder="1" applyFont="1">
      <alignment readingOrder="0"/>
    </xf>
    <xf borderId="0" fillId="9" fontId="8" numFmtId="0" xfId="0" applyAlignment="1" applyFont="1">
      <alignment readingOrder="0"/>
    </xf>
    <xf borderId="0" fillId="9" fontId="15" numFmtId="0" xfId="0" applyAlignment="1" applyFont="1">
      <alignment readingOrder="0"/>
    </xf>
    <xf borderId="0" fillId="9" fontId="8" numFmtId="0" xfId="0" applyFont="1"/>
    <xf borderId="6" fillId="8" fontId="6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ont="1">
      <alignment readingOrder="0" shrinkToFit="0" vertical="bottom" wrapText="0"/>
    </xf>
    <xf borderId="6" fillId="7" fontId="6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left" readingOrder="0" vertical="bottom"/>
    </xf>
    <xf borderId="6" fillId="7" fontId="1" numFmtId="0" xfId="0" applyAlignment="1" applyBorder="1" applyFont="1">
      <alignment horizontal="center" readingOrder="0" vertical="bottom"/>
    </xf>
    <xf borderId="4" fillId="7" fontId="10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6" fillId="2" fontId="6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6" fillId="8" fontId="1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Border="1" applyFont="1"/>
    <xf borderId="1" fillId="0" fontId="0" numFmtId="0" xfId="0" applyAlignment="1" applyBorder="1" applyFont="1">
      <alignment readingOrder="0"/>
    </xf>
    <xf borderId="8" fillId="0" fontId="10" numFmtId="0" xfId="0" applyAlignment="1" applyBorder="1" applyFont="1">
      <alignment readingOrder="0" vertical="bottom"/>
    </xf>
    <xf borderId="5" fillId="0" fontId="10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6" fillId="10" fontId="1" numFmtId="0" xfId="0" applyAlignment="1" applyBorder="1" applyFill="1" applyFont="1">
      <alignment horizontal="center" readingOrder="0" shrinkToFit="0" vertical="bottom" wrapText="0"/>
    </xf>
    <xf borderId="1" fillId="10" fontId="1" numFmtId="0" xfId="0" applyAlignment="1" applyBorder="1" applyFont="1">
      <alignment horizontal="center" readingOrder="0" shrinkToFit="0" vertical="bottom" wrapText="0"/>
    </xf>
    <xf borderId="1" fillId="10" fontId="1" numFmtId="0" xfId="0" applyAlignment="1" applyBorder="1" applyFont="1">
      <alignment readingOrder="0" shrinkToFit="0" vertical="bottom" wrapText="0"/>
    </xf>
    <xf borderId="6" fillId="10" fontId="1" numFmtId="0" xfId="0" applyAlignment="1" applyBorder="1" applyFont="1">
      <alignment horizontal="center" readingOrder="0" shrinkToFit="0" vertical="center" wrapText="1"/>
    </xf>
    <xf borderId="6" fillId="10" fontId="1" numFmtId="0" xfId="0" applyAlignment="1" applyBorder="1" applyFont="1">
      <alignment horizontal="left" readingOrder="0" vertical="bottom"/>
    </xf>
    <xf borderId="6" fillId="10" fontId="1" numFmtId="0" xfId="0" applyAlignment="1" applyBorder="1" applyFont="1">
      <alignment horizontal="center" readingOrder="0" vertical="bottom"/>
    </xf>
    <xf borderId="6" fillId="10" fontId="1" numFmtId="0" xfId="0" applyAlignment="1" applyBorder="1" applyFont="1">
      <alignment horizontal="center" shrinkToFit="0" vertical="bottom" wrapText="0"/>
    </xf>
    <xf borderId="6" fillId="10" fontId="6" numFmtId="0" xfId="0" applyAlignment="1" applyBorder="1" applyFont="1">
      <alignment readingOrder="0"/>
    </xf>
    <xf borderId="4" fillId="10" fontId="10" numFmtId="0" xfId="0" applyAlignment="1" applyBorder="1" applyFont="1">
      <alignment readingOrder="0"/>
    </xf>
    <xf borderId="0" fillId="10" fontId="16" numFmtId="0" xfId="0" applyAlignment="1" applyFont="1">
      <alignment horizontal="left" readingOrder="0"/>
    </xf>
    <xf borderId="6" fillId="10" fontId="1" numFmtId="0" xfId="0" applyAlignment="1" applyBorder="1" applyFont="1">
      <alignment horizontal="left" readingOrder="0" shrinkToFit="0" vertical="bottom" wrapText="0"/>
    </xf>
    <xf borderId="0" fillId="9" fontId="16" numFmtId="0" xfId="0" applyAlignment="1" applyFont="1">
      <alignment horizontal="left" readingOrder="0"/>
    </xf>
    <xf borderId="6" fillId="10" fontId="6" numFmtId="0" xfId="0" applyAlignment="1" applyBorder="1" applyFont="1">
      <alignment horizontal="center" readingOrder="0" vertical="center"/>
    </xf>
    <xf borderId="0" fillId="2" fontId="8" numFmtId="0" xfId="0" applyAlignment="1" applyFont="1">
      <alignment readingOrder="0"/>
    </xf>
    <xf borderId="0" fillId="7" fontId="17" numFmtId="0" xfId="0" applyAlignment="1" applyFont="1">
      <alignment horizontal="left" readingOrder="0"/>
    </xf>
    <xf borderId="0" fillId="10" fontId="17" numFmtId="0" xfId="0" applyAlignment="1" applyFont="1">
      <alignment horizontal="left" readingOrder="0"/>
    </xf>
    <xf borderId="1" fillId="10" fontId="6" numFmtId="0" xfId="0" applyAlignment="1" applyBorder="1" applyFont="1">
      <alignment horizontal="center" readingOrder="0"/>
    </xf>
    <xf borderId="1" fillId="10" fontId="6" numFmtId="0" xfId="0" applyAlignment="1" applyBorder="1" applyFont="1">
      <alignment readingOrder="0"/>
    </xf>
    <xf borderId="1" fillId="10" fontId="6" numFmtId="0" xfId="0" applyBorder="1" applyFont="1"/>
    <xf borderId="1" fillId="10" fontId="0" numFmtId="0" xfId="0" applyAlignment="1" applyBorder="1" applyFont="1">
      <alignment readingOrder="0"/>
    </xf>
    <xf borderId="8" fillId="10" fontId="10" numFmtId="0" xfId="0" applyAlignment="1" applyBorder="1" applyFont="1">
      <alignment readingOrder="0" vertical="bottom"/>
    </xf>
    <xf borderId="5" fillId="10" fontId="10" numFmtId="0" xfId="0" applyAlignment="1" applyBorder="1" applyFont="1">
      <alignment readingOrder="0" vertical="bottom"/>
    </xf>
    <xf quotePrefix="1"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02web.zoom.us/j/81794260687?pwd=ZXg5WU5rV0Z3ZUY2b1ZUUGp1YnNHUT09" TargetMode="External"/><Relationship Id="rId2" Type="http://schemas.openxmlformats.org/officeDocument/2006/relationships/hyperlink" Target="https://us02web.zoom.us/j/85807997285?pwd=WGZTSkFqYTJYcUY5Q1YxUlVueDdFdz09" TargetMode="External"/><Relationship Id="rId3" Type="http://schemas.openxmlformats.org/officeDocument/2006/relationships/hyperlink" Target="https://us02web.zoom.us/j/87405957400?pwd=d3JmZzhoaHh2a1FVaVJLMkdrOE5zdz09" TargetMode="External"/><Relationship Id="rId4" Type="http://schemas.openxmlformats.org/officeDocument/2006/relationships/hyperlink" Target="https://us02web.zoom.us/j/87803581304?pwd=SnFWd0VxQlZnYnp3RGR2bzAvRDdXQT09" TargetMode="External"/><Relationship Id="rId5" Type="http://schemas.openxmlformats.org/officeDocument/2006/relationships/hyperlink" Target="https://us02web.zoom.us/j/81749599157?pwd=am5kK0J2OWx1dTJFdDkvZEJGMTRpZz09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us02web.zoom.us/j/81794260687?pwd=ZXg5WU5rV0Z3ZUY2b1ZUUGp1YnNHUT09" TargetMode="External"/><Relationship Id="rId2" Type="http://schemas.openxmlformats.org/officeDocument/2006/relationships/hyperlink" Target="https://us02web.zoom.us/j/85807997285?pwd=WGZTSkFqYTJYcUY5Q1YxUlVueDdFdz09" TargetMode="External"/><Relationship Id="rId3" Type="http://schemas.openxmlformats.org/officeDocument/2006/relationships/hyperlink" Target="https://us02web.zoom.us/j/87405957400?pwd=d3JmZzhoaHh2a1FVaVJLMkdrOE5zdz09" TargetMode="External"/><Relationship Id="rId4" Type="http://schemas.openxmlformats.org/officeDocument/2006/relationships/hyperlink" Target="https://us02web.zoom.us/j/87803581304?pwd=SnFWd0VxQlZnYnp3RGR2bzAvRDdXQT09" TargetMode="External"/><Relationship Id="rId5" Type="http://schemas.openxmlformats.org/officeDocument/2006/relationships/hyperlink" Target="https://us02web.zoom.us/j/81749599157?pwd=am5kK0J2OWx1dTJFdDkvZEJGMTRpZz09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us02web.zoom.us/j/81794260687?pwd=ZXg5WU5rV0Z3ZUY2b1ZUUGp1YnNHUT09" TargetMode="External"/><Relationship Id="rId2" Type="http://schemas.openxmlformats.org/officeDocument/2006/relationships/hyperlink" Target="https://us02web.zoom.us/j/85807997285?pwd=WGZTSkFqYTJYcUY5Q1YxUlVueDdFdz09" TargetMode="External"/><Relationship Id="rId3" Type="http://schemas.openxmlformats.org/officeDocument/2006/relationships/hyperlink" Target="https://us02web.zoom.us/j/87405957400?pwd=d3JmZzhoaHh2a1FVaVJLMkdrOE5zdz09" TargetMode="External"/><Relationship Id="rId4" Type="http://schemas.openxmlformats.org/officeDocument/2006/relationships/hyperlink" Target="https://us02web.zoom.us/j/87803581304?pwd=SnFWd0VxQlZnYnp3RGR2bzAvRDdXQT09" TargetMode="External"/><Relationship Id="rId5" Type="http://schemas.openxmlformats.org/officeDocument/2006/relationships/hyperlink" Target="https://us02web.zoom.us/j/81749599157?pwd=am5kK0J2OWx1dTJFdDkvZEJGMTRpZz09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4.14"/>
    <col customWidth="1" min="3" max="3" width="17.0"/>
    <col customWidth="1" min="4" max="4" width="53.43"/>
    <col customWidth="1" min="5" max="5" width="30.43"/>
    <col customWidth="1" hidden="1" min="6" max="6" width="167.86"/>
    <col customWidth="1" min="7" max="7" width="1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</row>
    <row r="2">
      <c r="A2" s="7">
        <v>1.0</v>
      </c>
      <c r="B2" s="8" t="s">
        <v>8</v>
      </c>
      <c r="C2" s="9">
        <v>1.1321028E7</v>
      </c>
      <c r="D2" s="10" t="s">
        <v>9</v>
      </c>
      <c r="E2" s="10" t="s">
        <v>10</v>
      </c>
      <c r="F2" s="11" t="s">
        <v>11</v>
      </c>
      <c r="G2" s="12" t="s">
        <v>12</v>
      </c>
      <c r="H2" s="13"/>
    </row>
    <row r="3">
      <c r="A3" s="14"/>
      <c r="B3" s="15" t="s">
        <v>13</v>
      </c>
      <c r="C3" s="16">
        <v>1.1321033E7</v>
      </c>
      <c r="D3" s="14"/>
      <c r="E3" s="14"/>
      <c r="F3" s="17"/>
      <c r="H3" s="14"/>
    </row>
    <row r="4">
      <c r="A4" s="18"/>
      <c r="B4" s="19"/>
      <c r="C4" s="19"/>
      <c r="D4" s="18"/>
      <c r="E4" s="18"/>
      <c r="F4" s="19"/>
      <c r="G4" s="20"/>
      <c r="H4" s="18"/>
    </row>
    <row r="5">
      <c r="A5" s="7">
        <v>2.0</v>
      </c>
      <c r="B5" s="8" t="s">
        <v>14</v>
      </c>
      <c r="C5" s="9">
        <v>1.1321016E7</v>
      </c>
      <c r="D5" s="10" t="s">
        <v>9</v>
      </c>
      <c r="E5" s="10" t="s">
        <v>10</v>
      </c>
      <c r="F5" s="11" t="s">
        <v>15</v>
      </c>
      <c r="G5" s="12" t="s">
        <v>12</v>
      </c>
      <c r="H5" s="7" t="s">
        <v>16</v>
      </c>
    </row>
    <row r="6">
      <c r="A6" s="14"/>
      <c r="B6" s="8" t="s">
        <v>17</v>
      </c>
      <c r="C6" s="9">
        <v>1.1321072E7</v>
      </c>
      <c r="D6" s="14"/>
      <c r="E6" s="14"/>
      <c r="F6" s="17"/>
      <c r="H6" s="14"/>
    </row>
    <row r="7">
      <c r="A7" s="18"/>
      <c r="B7" s="8" t="s">
        <v>18</v>
      </c>
      <c r="C7" s="9">
        <v>1.1321062E7</v>
      </c>
      <c r="D7" s="18"/>
      <c r="E7" s="18"/>
      <c r="F7" s="19"/>
      <c r="G7" s="20"/>
      <c r="H7" s="18"/>
    </row>
    <row r="8">
      <c r="A8" s="7">
        <v>3.0</v>
      </c>
      <c r="B8" s="8" t="s">
        <v>19</v>
      </c>
      <c r="C8" s="9">
        <v>1.1321018E7</v>
      </c>
      <c r="D8" s="21" t="s">
        <v>20</v>
      </c>
      <c r="E8" s="10" t="s">
        <v>21</v>
      </c>
      <c r="F8" s="11" t="s">
        <v>22</v>
      </c>
      <c r="G8" s="12" t="s">
        <v>23</v>
      </c>
      <c r="H8" s="22"/>
    </row>
    <row r="9">
      <c r="A9" s="14"/>
      <c r="B9" s="8" t="s">
        <v>24</v>
      </c>
      <c r="C9" s="9">
        <v>1.1321068E7</v>
      </c>
      <c r="D9" s="14"/>
      <c r="E9" s="14"/>
      <c r="F9" s="17"/>
      <c r="H9" s="14"/>
    </row>
    <row r="10">
      <c r="A10" s="18"/>
      <c r="B10" s="8" t="s">
        <v>25</v>
      </c>
      <c r="C10" s="9">
        <v>1.1321039E7</v>
      </c>
      <c r="D10" s="18"/>
      <c r="E10" s="18"/>
      <c r="F10" s="19"/>
      <c r="G10" s="20"/>
      <c r="H10" s="18"/>
    </row>
    <row r="11">
      <c r="A11" s="7">
        <v>4.0</v>
      </c>
      <c r="B11" s="8" t="s">
        <v>26</v>
      </c>
      <c r="C11" s="9">
        <v>1.132101E7</v>
      </c>
      <c r="D11" s="23" t="s">
        <v>27</v>
      </c>
      <c r="E11" s="10" t="s">
        <v>28</v>
      </c>
      <c r="F11" s="11" t="s">
        <v>29</v>
      </c>
      <c r="G11" s="24" t="s">
        <v>30</v>
      </c>
      <c r="H11" s="22"/>
    </row>
    <row r="12">
      <c r="A12" s="14"/>
      <c r="B12" s="8" t="s">
        <v>31</v>
      </c>
      <c r="C12" s="9">
        <v>1.1321032E7</v>
      </c>
      <c r="D12" s="14"/>
      <c r="E12" s="14"/>
      <c r="F12" s="17"/>
      <c r="H12" s="14"/>
    </row>
    <row r="13">
      <c r="A13" s="18"/>
      <c r="B13" s="8" t="s">
        <v>32</v>
      </c>
      <c r="C13" s="1">
        <v>1.1321059E7</v>
      </c>
      <c r="D13" s="18"/>
      <c r="E13" s="18"/>
      <c r="F13" s="19"/>
      <c r="G13" s="20"/>
      <c r="H13" s="18"/>
    </row>
    <row r="14">
      <c r="A14" s="7">
        <v>5.0</v>
      </c>
      <c r="B14" s="8" t="s">
        <v>33</v>
      </c>
      <c r="C14" s="1">
        <v>1.1321038E7</v>
      </c>
      <c r="D14" s="10" t="s">
        <v>9</v>
      </c>
      <c r="E14" s="10" t="s">
        <v>34</v>
      </c>
      <c r="F14" s="11" t="s">
        <v>35</v>
      </c>
      <c r="G14" s="24" t="s">
        <v>36</v>
      </c>
      <c r="H14" s="22"/>
    </row>
    <row r="15">
      <c r="A15" s="14"/>
      <c r="B15" s="15" t="s">
        <v>37</v>
      </c>
      <c r="C15" s="1">
        <v>1.1321026E7</v>
      </c>
      <c r="D15" s="14"/>
      <c r="E15" s="14"/>
      <c r="F15" s="17"/>
      <c r="H15" s="14"/>
    </row>
    <row r="16">
      <c r="A16" s="18"/>
      <c r="B16" s="25" t="s">
        <v>38</v>
      </c>
      <c r="C16" s="1">
        <v>1.1321071E7</v>
      </c>
      <c r="D16" s="18"/>
      <c r="E16" s="18"/>
      <c r="F16" s="17"/>
      <c r="G16" s="20"/>
      <c r="H16" s="18"/>
    </row>
    <row r="17">
      <c r="A17" s="26">
        <v>6.0</v>
      </c>
      <c r="B17" s="27" t="s">
        <v>39</v>
      </c>
      <c r="C17" s="1">
        <v>1.1321048E7</v>
      </c>
      <c r="D17" s="10" t="s">
        <v>9</v>
      </c>
      <c r="E17" s="10" t="s">
        <v>28</v>
      </c>
      <c r="F17" s="28" t="s">
        <v>40</v>
      </c>
      <c r="G17" s="29" t="s">
        <v>41</v>
      </c>
      <c r="H17" s="7" t="s">
        <v>16</v>
      </c>
    </row>
    <row r="18">
      <c r="A18" s="30"/>
      <c r="B18" s="27" t="s">
        <v>42</v>
      </c>
      <c r="C18" s="1">
        <v>1.1321053E7</v>
      </c>
      <c r="D18" s="14"/>
      <c r="E18" s="14"/>
      <c r="F18" s="14"/>
      <c r="H18" s="14"/>
    </row>
    <row r="19">
      <c r="A19" s="31"/>
      <c r="B19" s="27" t="s">
        <v>43</v>
      </c>
      <c r="C19" s="1">
        <v>1.132107E7</v>
      </c>
      <c r="D19" s="18"/>
      <c r="E19" s="18"/>
      <c r="F19" s="18"/>
      <c r="G19" s="20"/>
      <c r="H19" s="18"/>
    </row>
    <row r="20">
      <c r="A20" s="7">
        <v>7.0</v>
      </c>
      <c r="B20" s="8" t="s">
        <v>44</v>
      </c>
      <c r="C20" s="9">
        <v>1.1321044E7</v>
      </c>
      <c r="D20" s="10" t="s">
        <v>9</v>
      </c>
      <c r="E20" s="10" t="s">
        <v>45</v>
      </c>
      <c r="F20" s="11" t="s">
        <v>46</v>
      </c>
      <c r="G20" s="24" t="s">
        <v>36</v>
      </c>
      <c r="H20" s="22"/>
    </row>
    <row r="21">
      <c r="A21" s="14"/>
      <c r="B21" s="8" t="s">
        <v>47</v>
      </c>
      <c r="C21" s="9">
        <v>1.1321005E7</v>
      </c>
      <c r="D21" s="14"/>
      <c r="E21" s="14"/>
      <c r="F21" s="17"/>
      <c r="H21" s="14"/>
    </row>
    <row r="22">
      <c r="A22" s="18"/>
      <c r="B22" s="8" t="s">
        <v>48</v>
      </c>
      <c r="C22" s="9">
        <v>1.1321047E7</v>
      </c>
      <c r="D22" s="18"/>
      <c r="E22" s="18"/>
      <c r="F22" s="19"/>
      <c r="G22" s="20"/>
      <c r="H22" s="18"/>
    </row>
    <row r="23">
      <c r="A23" s="7">
        <v>8.0</v>
      </c>
      <c r="B23" s="8" t="s">
        <v>49</v>
      </c>
      <c r="C23" s="9">
        <v>1.1321013E7</v>
      </c>
      <c r="D23" s="21" t="s">
        <v>50</v>
      </c>
      <c r="E23" s="10" t="s">
        <v>51</v>
      </c>
      <c r="F23" s="11" t="s">
        <v>52</v>
      </c>
      <c r="G23" s="24" t="s">
        <v>53</v>
      </c>
      <c r="H23" s="22"/>
    </row>
    <row r="24">
      <c r="A24" s="14"/>
      <c r="B24" s="8" t="s">
        <v>54</v>
      </c>
      <c r="C24" s="9">
        <v>1.1321058E7</v>
      </c>
      <c r="D24" s="14"/>
      <c r="E24" s="14"/>
      <c r="F24" s="17"/>
      <c r="H24" s="14"/>
    </row>
    <row r="25">
      <c r="A25" s="18"/>
      <c r="B25" s="8" t="s">
        <v>55</v>
      </c>
      <c r="C25" s="9">
        <v>1.1321069E7</v>
      </c>
      <c r="D25" s="18"/>
      <c r="E25" s="18"/>
      <c r="F25" s="19"/>
      <c r="G25" s="20"/>
      <c r="H25" s="18"/>
    </row>
    <row r="26">
      <c r="A26" s="7">
        <v>9.0</v>
      </c>
      <c r="B26" s="8" t="s">
        <v>56</v>
      </c>
      <c r="C26" s="9">
        <v>1.132103E7</v>
      </c>
      <c r="D26" s="21" t="s">
        <v>20</v>
      </c>
      <c r="E26" s="10" t="s">
        <v>21</v>
      </c>
      <c r="F26" s="32" t="s">
        <v>57</v>
      </c>
      <c r="G26" s="29" t="s">
        <v>23</v>
      </c>
      <c r="H26" s="22"/>
    </row>
    <row r="27">
      <c r="A27" s="14"/>
      <c r="B27" s="8" t="s">
        <v>58</v>
      </c>
      <c r="C27" s="9">
        <v>1.1321036E7</v>
      </c>
      <c r="D27" s="14"/>
      <c r="E27" s="14"/>
      <c r="F27" s="17"/>
      <c r="H27" s="14"/>
    </row>
    <row r="28">
      <c r="A28" s="18"/>
      <c r="B28" s="8" t="s">
        <v>59</v>
      </c>
      <c r="C28" s="9">
        <v>1.1321041E7</v>
      </c>
      <c r="D28" s="18"/>
      <c r="E28" s="18"/>
      <c r="F28" s="19"/>
      <c r="G28" s="20"/>
      <c r="H28" s="18"/>
    </row>
    <row r="29">
      <c r="A29" s="7">
        <v>10.0</v>
      </c>
      <c r="B29" s="8" t="s">
        <v>60</v>
      </c>
      <c r="C29" s="9">
        <v>1.1321051E7</v>
      </c>
      <c r="D29" s="10" t="s">
        <v>9</v>
      </c>
      <c r="E29" s="10" t="s">
        <v>10</v>
      </c>
      <c r="F29" s="11" t="s">
        <v>61</v>
      </c>
      <c r="G29" s="12" t="s">
        <v>12</v>
      </c>
      <c r="H29" s="22"/>
    </row>
    <row r="30">
      <c r="A30" s="14"/>
      <c r="B30" s="8" t="s">
        <v>62</v>
      </c>
      <c r="C30" s="9">
        <v>1.1321007E7</v>
      </c>
      <c r="D30" s="14"/>
      <c r="E30" s="14"/>
      <c r="F30" s="17"/>
      <c r="H30" s="14"/>
    </row>
    <row r="31">
      <c r="A31" s="18"/>
      <c r="B31" s="8" t="s">
        <v>63</v>
      </c>
      <c r="C31" s="9">
        <v>1.1321021E7</v>
      </c>
      <c r="D31" s="18"/>
      <c r="E31" s="18"/>
      <c r="F31" s="19"/>
      <c r="G31" s="20"/>
      <c r="H31" s="18"/>
    </row>
    <row r="32">
      <c r="A32" s="7">
        <v>11.0</v>
      </c>
      <c r="B32" s="8" t="s">
        <v>64</v>
      </c>
      <c r="C32" s="9">
        <v>1.1321015E7</v>
      </c>
      <c r="D32" s="10" t="s">
        <v>9</v>
      </c>
      <c r="E32" s="10" t="s">
        <v>10</v>
      </c>
      <c r="F32" s="11" t="s">
        <v>65</v>
      </c>
      <c r="G32" s="24" t="s">
        <v>41</v>
      </c>
      <c r="H32" s="22"/>
    </row>
    <row r="33">
      <c r="A33" s="14"/>
      <c r="B33" s="8" t="s">
        <v>66</v>
      </c>
      <c r="C33" s="9">
        <v>1.1321025E7</v>
      </c>
      <c r="D33" s="14"/>
      <c r="E33" s="14"/>
      <c r="F33" s="17"/>
      <c r="H33" s="14"/>
    </row>
    <row r="34">
      <c r="A34" s="18"/>
      <c r="B34" s="8" t="s">
        <v>67</v>
      </c>
      <c r="C34" s="9">
        <v>1.132106E7</v>
      </c>
      <c r="D34" s="18"/>
      <c r="E34" s="18"/>
      <c r="F34" s="19"/>
      <c r="G34" s="20"/>
      <c r="H34" s="18"/>
    </row>
    <row r="35">
      <c r="A35" s="7">
        <v>12.0</v>
      </c>
      <c r="B35" s="8" t="s">
        <v>68</v>
      </c>
      <c r="C35" s="9">
        <v>1.1321034E7</v>
      </c>
      <c r="D35" s="10" t="s">
        <v>9</v>
      </c>
      <c r="E35" s="10" t="s">
        <v>34</v>
      </c>
      <c r="F35" s="11" t="s">
        <v>69</v>
      </c>
      <c r="G35" s="12" t="s">
        <v>36</v>
      </c>
      <c r="H35" s="22"/>
    </row>
    <row r="36">
      <c r="A36" s="14"/>
      <c r="B36" s="8" t="s">
        <v>70</v>
      </c>
      <c r="C36" s="9">
        <v>1.1321055E7</v>
      </c>
      <c r="D36" s="14"/>
      <c r="E36" s="14"/>
      <c r="F36" s="17"/>
      <c r="H36" s="14"/>
    </row>
    <row r="37">
      <c r="A37" s="18"/>
      <c r="B37" s="8" t="s">
        <v>71</v>
      </c>
      <c r="C37" s="9">
        <v>1.1321054E7</v>
      </c>
      <c r="D37" s="18"/>
      <c r="E37" s="18"/>
      <c r="F37" s="19"/>
      <c r="G37" s="20"/>
      <c r="H37" s="18"/>
    </row>
    <row r="38">
      <c r="A38" s="7">
        <v>13.0</v>
      </c>
      <c r="B38" s="8" t="s">
        <v>72</v>
      </c>
      <c r="C38" s="9">
        <v>1.1321045E7</v>
      </c>
      <c r="D38" s="23" t="s">
        <v>27</v>
      </c>
      <c r="E38" s="10" t="s">
        <v>10</v>
      </c>
      <c r="F38" s="11" t="s">
        <v>73</v>
      </c>
      <c r="G38" s="24" t="s">
        <v>30</v>
      </c>
      <c r="H38" s="22"/>
    </row>
    <row r="39">
      <c r="A39" s="14"/>
      <c r="B39" s="8" t="s">
        <v>74</v>
      </c>
      <c r="C39" s="9">
        <v>1.1321056E7</v>
      </c>
      <c r="D39" s="14"/>
      <c r="E39" s="14"/>
      <c r="F39" s="17"/>
      <c r="H39" s="14"/>
    </row>
    <row r="40">
      <c r="A40" s="18"/>
      <c r="B40" s="8" t="s">
        <v>75</v>
      </c>
      <c r="C40" s="9">
        <v>1.1321057E7</v>
      </c>
      <c r="D40" s="18"/>
      <c r="E40" s="18"/>
      <c r="F40" s="19"/>
      <c r="G40" s="20"/>
      <c r="H40" s="18"/>
    </row>
    <row r="41">
      <c r="A41" s="7">
        <v>14.0</v>
      </c>
      <c r="B41" s="8" t="s">
        <v>76</v>
      </c>
      <c r="C41" s="9">
        <v>1.1321064E7</v>
      </c>
      <c r="D41" s="23" t="s">
        <v>27</v>
      </c>
      <c r="E41" s="23" t="s">
        <v>77</v>
      </c>
      <c r="F41" s="11" t="s">
        <v>78</v>
      </c>
      <c r="G41" s="33" t="s">
        <v>30</v>
      </c>
      <c r="H41" s="7" t="s">
        <v>79</v>
      </c>
    </row>
    <row r="42">
      <c r="A42" s="14"/>
      <c r="B42" s="8" t="s">
        <v>80</v>
      </c>
      <c r="C42" s="9">
        <v>1.1321052E7</v>
      </c>
      <c r="D42" s="14"/>
      <c r="E42" s="14"/>
      <c r="F42" s="17"/>
      <c r="H42" s="14"/>
    </row>
    <row r="43">
      <c r="A43" s="18"/>
      <c r="B43" s="8" t="s">
        <v>81</v>
      </c>
      <c r="C43" s="9">
        <v>1.1321014E7</v>
      </c>
      <c r="D43" s="18"/>
      <c r="E43" s="18"/>
      <c r="F43" s="19"/>
      <c r="G43" s="20"/>
      <c r="H43" s="18"/>
    </row>
    <row r="44">
      <c r="A44" s="7">
        <v>15.0</v>
      </c>
      <c r="B44" s="8" t="s">
        <v>82</v>
      </c>
      <c r="C44" s="9">
        <v>1.1321043E7</v>
      </c>
      <c r="D44" s="10" t="s">
        <v>9</v>
      </c>
      <c r="E44" s="10" t="s">
        <v>45</v>
      </c>
      <c r="F44" s="11" t="s">
        <v>83</v>
      </c>
      <c r="G44" s="12" t="s">
        <v>36</v>
      </c>
      <c r="H44" s="7" t="s">
        <v>79</v>
      </c>
    </row>
    <row r="45">
      <c r="A45" s="14"/>
      <c r="B45" s="8" t="s">
        <v>84</v>
      </c>
      <c r="C45" s="9">
        <v>1.1321073E7</v>
      </c>
      <c r="D45" s="14"/>
      <c r="E45" s="14"/>
      <c r="F45" s="17"/>
      <c r="H45" s="14"/>
    </row>
    <row r="46">
      <c r="A46" s="18"/>
      <c r="B46" s="8" t="s">
        <v>85</v>
      </c>
      <c r="C46" s="9">
        <v>1.1321023E7</v>
      </c>
      <c r="D46" s="18"/>
      <c r="E46" s="18"/>
      <c r="F46" s="19"/>
      <c r="G46" s="20"/>
      <c r="H46" s="18"/>
    </row>
    <row r="47">
      <c r="A47" s="7">
        <v>16.0</v>
      </c>
      <c r="B47" s="8" t="s">
        <v>86</v>
      </c>
      <c r="C47" s="9">
        <v>1.1321008E7</v>
      </c>
      <c r="D47" s="23" t="s">
        <v>27</v>
      </c>
      <c r="E47" s="10" t="s">
        <v>10</v>
      </c>
      <c r="F47" s="11" t="s">
        <v>87</v>
      </c>
      <c r="G47" s="24" t="s">
        <v>30</v>
      </c>
      <c r="H47" s="22"/>
    </row>
    <row r="48">
      <c r="A48" s="14"/>
      <c r="B48" s="8" t="s">
        <v>88</v>
      </c>
      <c r="C48" s="9">
        <v>1.1321019E7</v>
      </c>
      <c r="D48" s="14"/>
      <c r="E48" s="14"/>
      <c r="F48" s="17"/>
      <c r="H48" s="14"/>
    </row>
    <row r="49">
      <c r="A49" s="18"/>
      <c r="B49" s="8" t="s">
        <v>89</v>
      </c>
      <c r="C49" s="9">
        <v>1.1321035E7</v>
      </c>
      <c r="D49" s="18"/>
      <c r="E49" s="18"/>
      <c r="F49" s="19"/>
      <c r="G49" s="20"/>
      <c r="H49" s="18"/>
    </row>
    <row r="50">
      <c r="A50" s="7">
        <v>17.0</v>
      </c>
      <c r="B50" s="8" t="s">
        <v>90</v>
      </c>
      <c r="C50" s="9">
        <v>1.1321037E7</v>
      </c>
      <c r="D50" s="10" t="s">
        <v>9</v>
      </c>
      <c r="E50" s="10" t="s">
        <v>10</v>
      </c>
      <c r="F50" s="11" t="s">
        <v>91</v>
      </c>
      <c r="G50" s="24" t="s">
        <v>12</v>
      </c>
      <c r="H50" s="22"/>
    </row>
    <row r="51">
      <c r="A51" s="14"/>
      <c r="B51" s="8" t="s">
        <v>92</v>
      </c>
      <c r="C51" s="9">
        <v>1.1321024E7</v>
      </c>
      <c r="D51" s="14"/>
      <c r="E51" s="14"/>
      <c r="F51" s="17"/>
      <c r="H51" s="14"/>
    </row>
    <row r="52">
      <c r="A52" s="18"/>
      <c r="B52" s="8" t="s">
        <v>93</v>
      </c>
      <c r="C52" s="9">
        <v>1.1321066E7</v>
      </c>
      <c r="D52" s="18"/>
      <c r="E52" s="18"/>
      <c r="F52" s="19"/>
      <c r="G52" s="20"/>
      <c r="H52" s="18"/>
    </row>
    <row r="53">
      <c r="A53" s="7">
        <v>18.0</v>
      </c>
      <c r="B53" s="8" t="s">
        <v>94</v>
      </c>
      <c r="C53" s="9">
        <v>1.1321002E7</v>
      </c>
      <c r="D53" s="10" t="s">
        <v>95</v>
      </c>
      <c r="E53" s="10" t="s">
        <v>96</v>
      </c>
      <c r="F53" s="11" t="s">
        <v>97</v>
      </c>
      <c r="G53" s="24" t="s">
        <v>23</v>
      </c>
      <c r="H53" s="22"/>
    </row>
    <row r="54">
      <c r="A54" s="14"/>
      <c r="B54" s="8" t="s">
        <v>98</v>
      </c>
      <c r="C54" s="9">
        <v>1.1321017E7</v>
      </c>
      <c r="D54" s="18"/>
      <c r="E54" s="18"/>
      <c r="F54" s="17"/>
      <c r="H54" s="14"/>
    </row>
    <row r="55">
      <c r="A55" s="18"/>
      <c r="B55" s="8" t="s">
        <v>99</v>
      </c>
      <c r="C55" s="9">
        <v>1.1321029E7</v>
      </c>
      <c r="D55" s="9"/>
      <c r="E55" s="9"/>
      <c r="F55" s="19"/>
      <c r="G55" s="20"/>
      <c r="H55" s="18"/>
    </row>
    <row r="56">
      <c r="A56" s="7">
        <v>19.0</v>
      </c>
      <c r="B56" s="8" t="s">
        <v>100</v>
      </c>
      <c r="C56" s="9">
        <v>1.1321009E7</v>
      </c>
      <c r="D56" s="21" t="s">
        <v>20</v>
      </c>
      <c r="E56" s="10" t="s">
        <v>101</v>
      </c>
      <c r="F56" s="11" t="s">
        <v>102</v>
      </c>
      <c r="G56" s="24" t="s">
        <v>23</v>
      </c>
      <c r="H56" s="7" t="s">
        <v>16</v>
      </c>
    </row>
    <row r="57">
      <c r="A57" s="14"/>
      <c r="B57" s="8" t="s">
        <v>103</v>
      </c>
      <c r="C57" s="9">
        <v>1.1321011E7</v>
      </c>
      <c r="D57" s="14"/>
      <c r="E57" s="14"/>
      <c r="F57" s="17"/>
      <c r="H57" s="14"/>
    </row>
    <row r="58">
      <c r="A58" s="18"/>
      <c r="B58" s="8" t="s">
        <v>104</v>
      </c>
      <c r="C58" s="9">
        <v>1.1321022E7</v>
      </c>
      <c r="D58" s="18"/>
      <c r="E58" s="18"/>
      <c r="F58" s="19"/>
      <c r="G58" s="20"/>
      <c r="H58" s="18"/>
    </row>
    <row r="59">
      <c r="A59" s="7">
        <v>20.0</v>
      </c>
      <c r="B59" s="8" t="s">
        <v>105</v>
      </c>
      <c r="C59" s="9">
        <v>1.1321001E7</v>
      </c>
      <c r="D59" s="21" t="s">
        <v>50</v>
      </c>
      <c r="E59" s="10" t="s">
        <v>51</v>
      </c>
      <c r="F59" s="11" t="s">
        <v>106</v>
      </c>
      <c r="G59" s="12" t="s">
        <v>53</v>
      </c>
      <c r="H59" s="22"/>
    </row>
    <row r="60">
      <c r="A60" s="14"/>
      <c r="B60" s="8" t="s">
        <v>107</v>
      </c>
      <c r="C60" s="9">
        <v>1.1321031E7</v>
      </c>
      <c r="D60" s="14"/>
      <c r="E60" s="14"/>
      <c r="F60" s="17"/>
      <c r="H60" s="14"/>
    </row>
    <row r="61">
      <c r="A61" s="18"/>
      <c r="B61" s="8" t="s">
        <v>108</v>
      </c>
      <c r="C61" s="9">
        <v>1.1321063E7</v>
      </c>
      <c r="D61" s="18"/>
      <c r="E61" s="18"/>
      <c r="F61" s="19"/>
      <c r="G61" s="20"/>
      <c r="H61" s="18"/>
    </row>
    <row r="62">
      <c r="A62" s="7">
        <v>21.0</v>
      </c>
      <c r="B62" s="8" t="s">
        <v>109</v>
      </c>
      <c r="C62" s="9">
        <v>1.1321012E7</v>
      </c>
      <c r="D62" s="10" t="s">
        <v>9</v>
      </c>
      <c r="E62" s="10" t="s">
        <v>10</v>
      </c>
      <c r="F62" s="11" t="s">
        <v>110</v>
      </c>
      <c r="G62" s="34" t="s">
        <v>41</v>
      </c>
      <c r="H62" s="22"/>
    </row>
    <row r="63">
      <c r="A63" s="14"/>
      <c r="B63" s="8" t="s">
        <v>111</v>
      </c>
      <c r="C63" s="9">
        <v>1.1321061E7</v>
      </c>
      <c r="D63" s="14"/>
      <c r="E63" s="14"/>
      <c r="F63" s="17"/>
      <c r="H63" s="14"/>
    </row>
    <row r="64">
      <c r="A64" s="18"/>
      <c r="B64" s="8" t="s">
        <v>112</v>
      </c>
      <c r="C64" s="9">
        <v>1.1321067E7</v>
      </c>
      <c r="D64" s="18"/>
      <c r="E64" s="18"/>
      <c r="F64" s="19"/>
      <c r="G64" s="20"/>
      <c r="H64" s="18"/>
    </row>
    <row r="65">
      <c r="A65" s="7">
        <v>22.0</v>
      </c>
      <c r="B65" s="8" t="s">
        <v>113</v>
      </c>
      <c r="C65" s="9">
        <v>1.1321003E7</v>
      </c>
      <c r="D65" s="23" t="s">
        <v>27</v>
      </c>
      <c r="E65" s="35" t="s">
        <v>114</v>
      </c>
      <c r="F65" s="11" t="s">
        <v>115</v>
      </c>
      <c r="G65" s="24" t="s">
        <v>30</v>
      </c>
      <c r="H65" s="22"/>
    </row>
    <row r="66">
      <c r="A66" s="14"/>
      <c r="B66" s="8" t="s">
        <v>116</v>
      </c>
      <c r="C66" s="9">
        <v>1.1321006E7</v>
      </c>
      <c r="D66" s="14"/>
      <c r="E66" s="17"/>
      <c r="F66" s="17"/>
      <c r="H66" s="14"/>
    </row>
    <row r="67">
      <c r="A67" s="18"/>
      <c r="B67" s="8" t="s">
        <v>117</v>
      </c>
      <c r="C67" s="9">
        <v>1.132102E7</v>
      </c>
      <c r="D67" s="18"/>
      <c r="E67" s="19"/>
      <c r="F67" s="19"/>
      <c r="G67" s="20"/>
      <c r="H67" s="18"/>
    </row>
    <row r="68">
      <c r="A68" s="7">
        <v>23.0</v>
      </c>
      <c r="B68" s="8" t="s">
        <v>118</v>
      </c>
      <c r="C68" s="9">
        <v>1.1321042E7</v>
      </c>
      <c r="D68" s="10" t="s">
        <v>9</v>
      </c>
      <c r="E68" s="10" t="s">
        <v>10</v>
      </c>
      <c r="F68" s="11" t="s">
        <v>119</v>
      </c>
      <c r="G68" s="12" t="s">
        <v>41</v>
      </c>
      <c r="H68" s="22"/>
    </row>
    <row r="69">
      <c r="A69" s="14"/>
      <c r="B69" s="8" t="s">
        <v>120</v>
      </c>
      <c r="C69" s="9">
        <v>1.1321049E7</v>
      </c>
      <c r="D69" s="14"/>
      <c r="E69" s="14"/>
      <c r="F69" s="17"/>
      <c r="H69" s="14"/>
    </row>
    <row r="70">
      <c r="A70" s="18"/>
      <c r="B70" s="8" t="s">
        <v>121</v>
      </c>
      <c r="C70" s="9">
        <v>1.1321027E7</v>
      </c>
      <c r="D70" s="18"/>
      <c r="E70" s="18"/>
      <c r="F70" s="19"/>
      <c r="G70" s="20"/>
      <c r="H70" s="18"/>
    </row>
    <row r="71">
      <c r="A71" s="7">
        <v>24.0</v>
      </c>
      <c r="B71" s="8" t="s">
        <v>122</v>
      </c>
      <c r="C71" s="9">
        <v>1.1321046E7</v>
      </c>
      <c r="D71" s="21" t="s">
        <v>20</v>
      </c>
      <c r="E71" s="10" t="s">
        <v>21</v>
      </c>
      <c r="F71" s="11" t="s">
        <v>123</v>
      </c>
      <c r="G71" s="12" t="s">
        <v>23</v>
      </c>
      <c r="H71" s="22"/>
    </row>
    <row r="72">
      <c r="A72" s="14"/>
      <c r="B72" s="8" t="s">
        <v>124</v>
      </c>
      <c r="C72" s="9">
        <v>1.1321051E7</v>
      </c>
      <c r="D72" s="14"/>
      <c r="E72" s="14"/>
      <c r="F72" s="17"/>
      <c r="H72" s="14"/>
    </row>
    <row r="73">
      <c r="A73" s="18"/>
      <c r="B73" s="8" t="s">
        <v>125</v>
      </c>
      <c r="C73" s="9">
        <v>1.1321065E7</v>
      </c>
      <c r="D73" s="18"/>
      <c r="E73" s="18"/>
      <c r="F73" s="19"/>
      <c r="G73" s="20"/>
      <c r="H73" s="18"/>
    </row>
    <row r="74">
      <c r="A74" s="36"/>
      <c r="B74" s="36"/>
      <c r="C74" s="36"/>
      <c r="D74" s="36"/>
      <c r="E74" s="36"/>
      <c r="F74" s="36"/>
      <c r="G74" s="36"/>
      <c r="H74" s="36"/>
    </row>
  </sheetData>
  <mergeCells count="146">
    <mergeCell ref="D2:D4"/>
    <mergeCell ref="E2:E4"/>
    <mergeCell ref="F2:F4"/>
    <mergeCell ref="G2:G4"/>
    <mergeCell ref="H2:H4"/>
    <mergeCell ref="B3:B4"/>
    <mergeCell ref="C3:C4"/>
    <mergeCell ref="E8:E10"/>
    <mergeCell ref="F8:F10"/>
    <mergeCell ref="G8:G10"/>
    <mergeCell ref="H8:H10"/>
    <mergeCell ref="A2:A4"/>
    <mergeCell ref="A5:A7"/>
    <mergeCell ref="E5:E7"/>
    <mergeCell ref="F5:F7"/>
    <mergeCell ref="G5:G7"/>
    <mergeCell ref="H5:H7"/>
    <mergeCell ref="A8:A10"/>
    <mergeCell ref="D14:D16"/>
    <mergeCell ref="E14:E16"/>
    <mergeCell ref="D17:D19"/>
    <mergeCell ref="E17:E19"/>
    <mergeCell ref="F17:F19"/>
    <mergeCell ref="G17:G19"/>
    <mergeCell ref="H17:H19"/>
    <mergeCell ref="A14:A16"/>
    <mergeCell ref="A17:A19"/>
    <mergeCell ref="A20:A22"/>
    <mergeCell ref="A23:A25"/>
    <mergeCell ref="A26:A28"/>
    <mergeCell ref="A29:A31"/>
    <mergeCell ref="A32:A34"/>
    <mergeCell ref="A47:A49"/>
    <mergeCell ref="G44:G46"/>
    <mergeCell ref="H44:H46"/>
    <mergeCell ref="G47:G49"/>
    <mergeCell ref="H47:H49"/>
    <mergeCell ref="A35:A37"/>
    <mergeCell ref="A38:A40"/>
    <mergeCell ref="A41:A43"/>
    <mergeCell ref="A44:A46"/>
    <mergeCell ref="D44:D46"/>
    <mergeCell ref="E44:E46"/>
    <mergeCell ref="F44:F46"/>
    <mergeCell ref="G50:G52"/>
    <mergeCell ref="H50:H52"/>
    <mergeCell ref="D50:D52"/>
    <mergeCell ref="D53:D54"/>
    <mergeCell ref="D65:D67"/>
    <mergeCell ref="D68:D70"/>
    <mergeCell ref="D71:D73"/>
    <mergeCell ref="F50:F52"/>
    <mergeCell ref="F53:F55"/>
    <mergeCell ref="G53:G55"/>
    <mergeCell ref="H53:H55"/>
    <mergeCell ref="D47:D49"/>
    <mergeCell ref="E47:E49"/>
    <mergeCell ref="F47:F49"/>
    <mergeCell ref="A50:A52"/>
    <mergeCell ref="E50:E52"/>
    <mergeCell ref="A53:A55"/>
    <mergeCell ref="E53:E54"/>
    <mergeCell ref="A59:A61"/>
    <mergeCell ref="A62:A64"/>
    <mergeCell ref="A65:A67"/>
    <mergeCell ref="A68:A70"/>
    <mergeCell ref="A71:A73"/>
    <mergeCell ref="F71:F73"/>
    <mergeCell ref="G71:G73"/>
    <mergeCell ref="H71:H73"/>
    <mergeCell ref="D59:D61"/>
    <mergeCell ref="E59:E61"/>
    <mergeCell ref="D62:D64"/>
    <mergeCell ref="E62:E64"/>
    <mergeCell ref="F62:F64"/>
    <mergeCell ref="G62:G64"/>
    <mergeCell ref="H62:H64"/>
    <mergeCell ref="F14:F16"/>
    <mergeCell ref="G14:G16"/>
    <mergeCell ref="A11:A13"/>
    <mergeCell ref="D11:D13"/>
    <mergeCell ref="E11:E13"/>
    <mergeCell ref="F11:F13"/>
    <mergeCell ref="G11:G13"/>
    <mergeCell ref="H11:H13"/>
    <mergeCell ref="H14:H16"/>
    <mergeCell ref="E23:E25"/>
    <mergeCell ref="E26:E28"/>
    <mergeCell ref="F26:F28"/>
    <mergeCell ref="G26:G28"/>
    <mergeCell ref="H26:H28"/>
    <mergeCell ref="E20:E22"/>
    <mergeCell ref="F20:F22"/>
    <mergeCell ref="G20:G22"/>
    <mergeCell ref="H20:H22"/>
    <mergeCell ref="F23:F25"/>
    <mergeCell ref="G23:G25"/>
    <mergeCell ref="H23:H25"/>
    <mergeCell ref="D32:D34"/>
    <mergeCell ref="E32:E34"/>
    <mergeCell ref="D5:D7"/>
    <mergeCell ref="D8:D10"/>
    <mergeCell ref="D20:D22"/>
    <mergeCell ref="D23:D25"/>
    <mergeCell ref="D26:D28"/>
    <mergeCell ref="D29:D31"/>
    <mergeCell ref="E29:E31"/>
    <mergeCell ref="G35:G37"/>
    <mergeCell ref="H35:H37"/>
    <mergeCell ref="F29:F31"/>
    <mergeCell ref="G29:G31"/>
    <mergeCell ref="H29:H31"/>
    <mergeCell ref="F32:F34"/>
    <mergeCell ref="G32:G34"/>
    <mergeCell ref="H32:H34"/>
    <mergeCell ref="D35:D37"/>
    <mergeCell ref="D41:D43"/>
    <mergeCell ref="E41:E43"/>
    <mergeCell ref="F41:F43"/>
    <mergeCell ref="G41:G43"/>
    <mergeCell ref="H41:H43"/>
    <mergeCell ref="E35:E37"/>
    <mergeCell ref="F35:F37"/>
    <mergeCell ref="D38:D40"/>
    <mergeCell ref="E38:E40"/>
    <mergeCell ref="F38:F40"/>
    <mergeCell ref="G38:G40"/>
    <mergeCell ref="H38:H40"/>
    <mergeCell ref="F59:F61"/>
    <mergeCell ref="G59:G61"/>
    <mergeCell ref="A56:A58"/>
    <mergeCell ref="D56:D58"/>
    <mergeCell ref="E56:E58"/>
    <mergeCell ref="F56:F58"/>
    <mergeCell ref="G56:G58"/>
    <mergeCell ref="H56:H58"/>
    <mergeCell ref="H59:H61"/>
    <mergeCell ref="E68:E70"/>
    <mergeCell ref="E71:E73"/>
    <mergeCell ref="E65:E67"/>
    <mergeCell ref="F65:F67"/>
    <mergeCell ref="G65:G67"/>
    <mergeCell ref="H65:H67"/>
    <mergeCell ref="F68:F70"/>
    <mergeCell ref="G68:G70"/>
    <mergeCell ref="H68:H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.43"/>
    <col customWidth="1" min="2" max="2" width="10.71"/>
    <col customWidth="1" min="3" max="3" width="16.86"/>
    <col customWidth="1" min="4" max="4" width="18.14"/>
    <col customWidth="1" min="5" max="5" width="18.86"/>
    <col customWidth="1" min="6" max="6" width="87.57"/>
    <col customWidth="1" min="7" max="7" width="14.0"/>
    <col customWidth="1" min="8" max="8" width="12.43"/>
    <col customWidth="1" min="9" max="9" width="10.0"/>
    <col customWidth="1" min="10" max="10" width="9.0"/>
    <col customWidth="1" min="11" max="11" width="18.71"/>
    <col customWidth="1" min="12" max="12" width="12.71"/>
    <col customWidth="1" min="13" max="13" width="12.14"/>
    <col customWidth="1" min="14" max="15" width="17.71"/>
  </cols>
  <sheetData>
    <row r="1">
      <c r="A1" s="1" t="s">
        <v>0</v>
      </c>
      <c r="B1" s="3" t="s">
        <v>2</v>
      </c>
      <c r="C1" s="2" t="s">
        <v>1</v>
      </c>
      <c r="D1" s="4" t="s">
        <v>3</v>
      </c>
      <c r="E1" s="5" t="s">
        <v>4</v>
      </c>
      <c r="F1" s="3" t="s">
        <v>5</v>
      </c>
      <c r="G1" s="3" t="s">
        <v>6</v>
      </c>
      <c r="H1" s="6" t="s">
        <v>7</v>
      </c>
      <c r="I1" s="37" t="s">
        <v>126</v>
      </c>
      <c r="J1" s="37" t="s">
        <v>127</v>
      </c>
      <c r="K1" s="37" t="s">
        <v>128</v>
      </c>
      <c r="L1" s="37" t="s">
        <v>129</v>
      </c>
      <c r="M1" s="37" t="s">
        <v>130</v>
      </c>
    </row>
    <row r="2">
      <c r="A2" s="7">
        <v>1.0</v>
      </c>
      <c r="B2" s="9">
        <v>1.1321028E7</v>
      </c>
      <c r="C2" s="8" t="s">
        <v>8</v>
      </c>
      <c r="D2" s="10" t="s">
        <v>9</v>
      </c>
      <c r="E2" s="10" t="s">
        <v>10</v>
      </c>
      <c r="F2" s="38" t="s">
        <v>131</v>
      </c>
      <c r="G2" s="39" t="s">
        <v>12</v>
      </c>
      <c r="H2" s="40"/>
      <c r="I2" s="41" t="s">
        <v>41</v>
      </c>
      <c r="J2" s="41" t="s">
        <v>30</v>
      </c>
      <c r="K2" s="42" t="s">
        <v>132</v>
      </c>
      <c r="L2" s="41" t="s">
        <v>133</v>
      </c>
      <c r="M2" s="41" t="s">
        <v>134</v>
      </c>
    </row>
    <row r="3">
      <c r="A3" s="14"/>
      <c r="B3" s="16">
        <v>1.1321033E7</v>
      </c>
      <c r="C3" s="15" t="s">
        <v>13</v>
      </c>
      <c r="D3" s="14"/>
      <c r="E3" s="14"/>
      <c r="F3" s="17"/>
      <c r="H3" s="14"/>
      <c r="I3" s="14"/>
      <c r="J3" s="14"/>
      <c r="K3" s="14"/>
      <c r="L3" s="14"/>
      <c r="M3" s="14"/>
      <c r="N3" s="43" t="s">
        <v>135</v>
      </c>
      <c r="O3" s="43" t="s">
        <v>136</v>
      </c>
    </row>
    <row r="4">
      <c r="A4" s="18"/>
      <c r="B4" s="19"/>
      <c r="C4" s="19"/>
      <c r="D4" s="18"/>
      <c r="E4" s="18"/>
      <c r="F4" s="19"/>
      <c r="G4" s="20"/>
      <c r="H4" s="18"/>
      <c r="I4" s="18"/>
      <c r="J4" s="18"/>
      <c r="K4" s="18"/>
      <c r="L4" s="18"/>
      <c r="M4" s="18"/>
    </row>
    <row r="5">
      <c r="A5" s="7">
        <v>2.0</v>
      </c>
      <c r="B5" s="9">
        <v>1.1321016E7</v>
      </c>
      <c r="C5" s="8" t="s">
        <v>14</v>
      </c>
      <c r="D5" s="10" t="s">
        <v>9</v>
      </c>
      <c r="E5" s="10" t="s">
        <v>10</v>
      </c>
      <c r="F5" s="38" t="s">
        <v>137</v>
      </c>
      <c r="G5" s="12" t="s">
        <v>12</v>
      </c>
      <c r="H5" s="7" t="s">
        <v>16</v>
      </c>
      <c r="I5" s="44" t="s">
        <v>36</v>
      </c>
      <c r="J5" s="44" t="s">
        <v>23</v>
      </c>
      <c r="K5" s="44" t="s">
        <v>138</v>
      </c>
      <c r="L5" s="44" t="s">
        <v>139</v>
      </c>
      <c r="M5" s="44" t="s">
        <v>134</v>
      </c>
      <c r="Q5" s="43" t="s">
        <v>140</v>
      </c>
    </row>
    <row r="6">
      <c r="A6" s="14"/>
      <c r="B6" s="9">
        <v>1.1321072E7</v>
      </c>
      <c r="C6" s="8" t="s">
        <v>17</v>
      </c>
      <c r="D6" s="14"/>
      <c r="E6" s="14"/>
      <c r="F6" s="17"/>
      <c r="H6" s="14"/>
      <c r="I6" s="14"/>
      <c r="J6" s="14"/>
      <c r="K6" s="14"/>
      <c r="L6" s="14"/>
      <c r="M6" s="14"/>
    </row>
    <row r="7">
      <c r="A7" s="18"/>
      <c r="B7" s="9">
        <v>1.1321062E7</v>
      </c>
      <c r="C7" s="8" t="s">
        <v>18</v>
      </c>
      <c r="D7" s="18"/>
      <c r="E7" s="18"/>
      <c r="F7" s="19"/>
      <c r="G7" s="20"/>
      <c r="H7" s="18"/>
      <c r="I7" s="18"/>
      <c r="J7" s="18"/>
      <c r="K7" s="18"/>
      <c r="L7" s="18"/>
      <c r="M7" s="18"/>
    </row>
    <row r="8">
      <c r="A8" s="7">
        <v>3.0</v>
      </c>
      <c r="B8" s="9">
        <v>1.1321018E7</v>
      </c>
      <c r="C8" s="8" t="s">
        <v>19</v>
      </c>
      <c r="D8" s="21" t="s">
        <v>20</v>
      </c>
      <c r="E8" s="10" t="s">
        <v>21</v>
      </c>
      <c r="F8" s="45" t="s">
        <v>22</v>
      </c>
      <c r="G8" s="39" t="s">
        <v>23</v>
      </c>
      <c r="H8" s="46"/>
      <c r="I8" s="41" t="s">
        <v>41</v>
      </c>
      <c r="J8" s="41" t="s">
        <v>30</v>
      </c>
      <c r="K8" s="41" t="s">
        <v>141</v>
      </c>
      <c r="L8" s="41" t="s">
        <v>139</v>
      </c>
      <c r="M8" s="41" t="s">
        <v>134</v>
      </c>
      <c r="N8" s="43" t="s">
        <v>142</v>
      </c>
    </row>
    <row r="9">
      <c r="A9" s="14"/>
      <c r="B9" s="9">
        <v>1.1321068E7</v>
      </c>
      <c r="C9" s="8" t="s">
        <v>24</v>
      </c>
      <c r="D9" s="14"/>
      <c r="E9" s="14"/>
      <c r="F9" s="17"/>
      <c r="H9" s="14"/>
      <c r="I9" s="14"/>
      <c r="J9" s="14"/>
      <c r="K9" s="14"/>
      <c r="L9" s="14"/>
      <c r="M9" s="14"/>
    </row>
    <row r="10">
      <c r="A10" s="18"/>
      <c r="B10" s="9">
        <v>1.1321039E7</v>
      </c>
      <c r="C10" s="8" t="s">
        <v>25</v>
      </c>
      <c r="D10" s="18"/>
      <c r="E10" s="18"/>
      <c r="F10" s="19"/>
      <c r="G10" s="20"/>
      <c r="H10" s="18"/>
      <c r="I10" s="18"/>
      <c r="J10" s="18"/>
      <c r="K10" s="18"/>
      <c r="L10" s="18"/>
      <c r="M10" s="18"/>
    </row>
    <row r="11">
      <c r="A11" s="7">
        <v>4.0</v>
      </c>
      <c r="B11" s="9">
        <v>1.132101E7</v>
      </c>
      <c r="C11" s="8" t="s">
        <v>26</v>
      </c>
      <c r="D11" s="23" t="s">
        <v>27</v>
      </c>
      <c r="E11" s="10" t="s">
        <v>28</v>
      </c>
      <c r="F11" s="45" t="s">
        <v>29</v>
      </c>
      <c r="G11" s="39" t="s">
        <v>30</v>
      </c>
      <c r="H11" s="46"/>
      <c r="I11" s="41" t="s">
        <v>41</v>
      </c>
      <c r="J11" s="41" t="s">
        <v>23</v>
      </c>
      <c r="K11" s="41" t="s">
        <v>143</v>
      </c>
      <c r="L11" s="41" t="s">
        <v>144</v>
      </c>
      <c r="M11" s="41" t="s">
        <v>145</v>
      </c>
      <c r="N11" s="43" t="s">
        <v>146</v>
      </c>
      <c r="Q11" s="43" t="s">
        <v>140</v>
      </c>
    </row>
    <row r="12">
      <c r="A12" s="14"/>
      <c r="B12" s="9">
        <v>1.1321032E7</v>
      </c>
      <c r="C12" s="8" t="s">
        <v>31</v>
      </c>
      <c r="D12" s="14"/>
      <c r="E12" s="14"/>
      <c r="F12" s="17"/>
      <c r="H12" s="14"/>
      <c r="I12" s="14"/>
      <c r="J12" s="14"/>
      <c r="K12" s="14"/>
      <c r="L12" s="14"/>
      <c r="M12" s="14"/>
    </row>
    <row r="13">
      <c r="A13" s="18"/>
      <c r="B13" s="1">
        <v>1.1321059E7</v>
      </c>
      <c r="C13" s="8" t="s">
        <v>32</v>
      </c>
      <c r="D13" s="18"/>
      <c r="E13" s="18"/>
      <c r="F13" s="19"/>
      <c r="G13" s="20"/>
      <c r="H13" s="18"/>
      <c r="I13" s="18"/>
      <c r="J13" s="18"/>
      <c r="K13" s="18"/>
      <c r="L13" s="18"/>
      <c r="M13" s="18"/>
    </row>
    <row r="14">
      <c r="A14" s="7">
        <v>5.0</v>
      </c>
      <c r="B14" s="1">
        <v>1.1321038E7</v>
      </c>
      <c r="C14" s="8" t="s">
        <v>33</v>
      </c>
      <c r="D14" s="10" t="s">
        <v>9</v>
      </c>
      <c r="E14" s="10" t="s">
        <v>34</v>
      </c>
      <c r="F14" s="45" t="s">
        <v>35</v>
      </c>
      <c r="G14" s="24" t="s">
        <v>36</v>
      </c>
      <c r="H14" s="22"/>
      <c r="I14" s="44" t="s">
        <v>30</v>
      </c>
      <c r="J14" s="44" t="s">
        <v>23</v>
      </c>
      <c r="K14" s="44" t="s">
        <v>147</v>
      </c>
      <c r="L14" s="44" t="s">
        <v>139</v>
      </c>
      <c r="M14" s="44" t="s">
        <v>145</v>
      </c>
    </row>
    <row r="15">
      <c r="A15" s="14"/>
      <c r="B15" s="1">
        <v>1.1321026E7</v>
      </c>
      <c r="C15" s="15" t="s">
        <v>37</v>
      </c>
      <c r="D15" s="14"/>
      <c r="E15" s="14"/>
      <c r="F15" s="17"/>
      <c r="H15" s="14"/>
      <c r="I15" s="14"/>
      <c r="J15" s="14"/>
      <c r="K15" s="14"/>
      <c r="L15" s="14"/>
      <c r="M15" s="14"/>
    </row>
    <row r="16">
      <c r="A16" s="18"/>
      <c r="B16" s="1">
        <v>1.1321071E7</v>
      </c>
      <c r="C16" s="25" t="s">
        <v>38</v>
      </c>
      <c r="D16" s="18"/>
      <c r="E16" s="18"/>
      <c r="F16" s="17"/>
      <c r="G16" s="20"/>
      <c r="H16" s="18"/>
      <c r="I16" s="18"/>
      <c r="J16" s="18"/>
      <c r="K16" s="18"/>
      <c r="L16" s="18"/>
      <c r="M16" s="18"/>
    </row>
    <row r="17">
      <c r="A17" s="26">
        <v>6.0</v>
      </c>
      <c r="B17" s="1">
        <v>1.1321048E7</v>
      </c>
      <c r="C17" s="27" t="s">
        <v>39</v>
      </c>
      <c r="D17" s="10" t="s">
        <v>9</v>
      </c>
      <c r="E17" s="10" t="s">
        <v>28</v>
      </c>
      <c r="F17" s="47" t="s">
        <v>148</v>
      </c>
      <c r="G17" s="29" t="s">
        <v>41</v>
      </c>
      <c r="H17" s="7" t="s">
        <v>16</v>
      </c>
      <c r="I17" s="44" t="s">
        <v>30</v>
      </c>
      <c r="J17" s="44" t="s">
        <v>23</v>
      </c>
      <c r="K17" s="48" t="s">
        <v>138</v>
      </c>
      <c r="L17" s="44" t="s">
        <v>149</v>
      </c>
      <c r="M17" s="44" t="s">
        <v>145</v>
      </c>
    </row>
    <row r="18">
      <c r="A18" s="30"/>
      <c r="B18" s="1">
        <v>1.1321053E7</v>
      </c>
      <c r="C18" s="27" t="s">
        <v>42</v>
      </c>
      <c r="D18" s="14"/>
      <c r="E18" s="14"/>
      <c r="F18" s="14"/>
      <c r="H18" s="14"/>
      <c r="I18" s="14"/>
      <c r="J18" s="14"/>
      <c r="K18" s="14"/>
      <c r="L18" s="14"/>
      <c r="M18" s="14"/>
    </row>
    <row r="19">
      <c r="A19" s="31"/>
      <c r="B19" s="1">
        <v>1.132107E7</v>
      </c>
      <c r="C19" s="27" t="s">
        <v>43</v>
      </c>
      <c r="D19" s="18"/>
      <c r="E19" s="18"/>
      <c r="F19" s="18"/>
      <c r="G19" s="20"/>
      <c r="H19" s="18"/>
      <c r="I19" s="18"/>
      <c r="J19" s="18"/>
      <c r="K19" s="18"/>
      <c r="L19" s="18"/>
      <c r="M19" s="18"/>
    </row>
    <row r="20">
      <c r="A20" s="7">
        <v>7.0</v>
      </c>
      <c r="B20" s="9">
        <v>1.1321044E7</v>
      </c>
      <c r="C20" s="8" t="s">
        <v>44</v>
      </c>
      <c r="D20" s="10" t="s">
        <v>9</v>
      </c>
      <c r="E20" s="10" t="s">
        <v>45</v>
      </c>
      <c r="F20" s="45" t="s">
        <v>46</v>
      </c>
      <c r="G20" s="24" t="s">
        <v>36</v>
      </c>
      <c r="H20" s="22"/>
      <c r="I20" s="44" t="s">
        <v>12</v>
      </c>
      <c r="J20" s="44" t="s">
        <v>41</v>
      </c>
      <c r="K20" s="44" t="s">
        <v>150</v>
      </c>
      <c r="L20" s="44" t="s">
        <v>151</v>
      </c>
      <c r="M20" s="44" t="s">
        <v>145</v>
      </c>
    </row>
    <row r="21">
      <c r="A21" s="14"/>
      <c r="B21" s="9">
        <v>1.1321005E7</v>
      </c>
      <c r="C21" s="8" t="s">
        <v>47</v>
      </c>
      <c r="D21" s="14"/>
      <c r="E21" s="14"/>
      <c r="F21" s="17"/>
      <c r="H21" s="14"/>
      <c r="I21" s="14"/>
      <c r="J21" s="14"/>
      <c r="K21" s="14"/>
      <c r="L21" s="14"/>
      <c r="M21" s="14"/>
    </row>
    <row r="22">
      <c r="A22" s="18"/>
      <c r="B22" s="9">
        <v>1.1321047E7</v>
      </c>
      <c r="C22" s="8" t="s">
        <v>48</v>
      </c>
      <c r="D22" s="18"/>
      <c r="E22" s="18"/>
      <c r="F22" s="19"/>
      <c r="G22" s="20"/>
      <c r="H22" s="18"/>
      <c r="I22" s="18"/>
      <c r="J22" s="18"/>
      <c r="K22" s="18"/>
      <c r="L22" s="18"/>
      <c r="M22" s="18"/>
    </row>
    <row r="23">
      <c r="A23" s="7">
        <v>8.0</v>
      </c>
      <c r="B23" s="9">
        <v>1.1321013E7</v>
      </c>
      <c r="C23" s="8" t="s">
        <v>49</v>
      </c>
      <c r="D23" s="21" t="s">
        <v>50</v>
      </c>
      <c r="E23" s="10" t="s">
        <v>51</v>
      </c>
      <c r="F23" s="45" t="s">
        <v>52</v>
      </c>
      <c r="G23" s="12" t="s">
        <v>53</v>
      </c>
      <c r="H23" s="49"/>
      <c r="I23" s="50" t="s">
        <v>23</v>
      </c>
      <c r="J23" s="50" t="s">
        <v>41</v>
      </c>
      <c r="K23" s="50" t="s">
        <v>138</v>
      </c>
      <c r="L23" s="50" t="s">
        <v>152</v>
      </c>
      <c r="M23" s="50" t="s">
        <v>145</v>
      </c>
    </row>
    <row r="24">
      <c r="A24" s="14"/>
      <c r="B24" s="9">
        <v>1.1321058E7</v>
      </c>
      <c r="C24" s="8" t="s">
        <v>54</v>
      </c>
      <c r="D24" s="14"/>
      <c r="E24" s="14"/>
      <c r="F24" s="17"/>
      <c r="H24" s="14"/>
      <c r="I24" s="14"/>
      <c r="J24" s="14"/>
      <c r="K24" s="14"/>
      <c r="L24" s="14"/>
      <c r="M24" s="14"/>
    </row>
    <row r="25">
      <c r="A25" s="18"/>
      <c r="B25" s="9">
        <v>1.1321069E7</v>
      </c>
      <c r="C25" s="8" t="s">
        <v>55</v>
      </c>
      <c r="D25" s="18"/>
      <c r="E25" s="18"/>
      <c r="F25" s="19"/>
      <c r="G25" s="20"/>
      <c r="H25" s="18"/>
      <c r="I25" s="18"/>
      <c r="J25" s="18"/>
      <c r="K25" s="18"/>
      <c r="L25" s="18"/>
      <c r="M25" s="18"/>
    </row>
    <row r="26">
      <c r="A26" s="7">
        <v>9.0</v>
      </c>
      <c r="B26" s="9">
        <v>1.132103E7</v>
      </c>
      <c r="C26" s="8" t="s">
        <v>56</v>
      </c>
      <c r="D26" s="21" t="s">
        <v>20</v>
      </c>
      <c r="E26" s="10" t="s">
        <v>21</v>
      </c>
      <c r="F26" s="51" t="s">
        <v>57</v>
      </c>
      <c r="G26" s="29" t="s">
        <v>23</v>
      </c>
      <c r="H26" s="22"/>
      <c r="I26" s="44" t="s">
        <v>12</v>
      </c>
      <c r="J26" s="44" t="s">
        <v>36</v>
      </c>
      <c r="K26" s="44" t="s">
        <v>153</v>
      </c>
      <c r="L26" s="44" t="s">
        <v>139</v>
      </c>
      <c r="M26" s="44" t="s">
        <v>145</v>
      </c>
    </row>
    <row r="27">
      <c r="A27" s="14"/>
      <c r="B27" s="9">
        <v>1.1321036E7</v>
      </c>
      <c r="C27" s="8" t="s">
        <v>58</v>
      </c>
      <c r="D27" s="14"/>
      <c r="E27" s="14"/>
      <c r="F27" s="17"/>
      <c r="H27" s="14"/>
      <c r="I27" s="14"/>
      <c r="J27" s="14"/>
      <c r="K27" s="14"/>
      <c r="L27" s="14"/>
      <c r="M27" s="14"/>
    </row>
    <row r="28">
      <c r="A28" s="18"/>
      <c r="B28" s="9">
        <v>1.1321041E7</v>
      </c>
      <c r="C28" s="8" t="s">
        <v>59</v>
      </c>
      <c r="D28" s="18"/>
      <c r="E28" s="18"/>
      <c r="F28" s="19"/>
      <c r="G28" s="20"/>
      <c r="H28" s="18"/>
      <c r="I28" s="18"/>
      <c r="J28" s="18"/>
      <c r="K28" s="18"/>
      <c r="L28" s="18"/>
      <c r="M28" s="18"/>
    </row>
    <row r="29">
      <c r="A29" s="7">
        <v>10.0</v>
      </c>
      <c r="B29" s="9">
        <v>1.1321051E7</v>
      </c>
      <c r="C29" s="8" t="s">
        <v>60</v>
      </c>
      <c r="D29" s="10" t="s">
        <v>9</v>
      </c>
      <c r="E29" s="10" t="s">
        <v>10</v>
      </c>
      <c r="F29" s="38" t="s">
        <v>154</v>
      </c>
      <c r="G29" s="12" t="s">
        <v>12</v>
      </c>
      <c r="H29" s="22"/>
      <c r="I29" s="44" t="s">
        <v>41</v>
      </c>
      <c r="J29" s="44" t="s">
        <v>23</v>
      </c>
      <c r="K29" s="44" t="s">
        <v>150</v>
      </c>
      <c r="L29" s="44" t="s">
        <v>155</v>
      </c>
      <c r="M29" s="44" t="s">
        <v>145</v>
      </c>
    </row>
    <row r="30">
      <c r="A30" s="14"/>
      <c r="B30" s="9">
        <v>1.1321007E7</v>
      </c>
      <c r="C30" s="8" t="s">
        <v>62</v>
      </c>
      <c r="D30" s="14"/>
      <c r="E30" s="14"/>
      <c r="F30" s="17"/>
      <c r="H30" s="14"/>
      <c r="I30" s="14"/>
      <c r="J30" s="14"/>
      <c r="K30" s="14"/>
      <c r="L30" s="14"/>
      <c r="M30" s="14"/>
    </row>
    <row r="31">
      <c r="A31" s="18"/>
      <c r="B31" s="9">
        <v>1.1321021E7</v>
      </c>
      <c r="C31" s="8" t="s">
        <v>63</v>
      </c>
      <c r="D31" s="18"/>
      <c r="E31" s="18"/>
      <c r="F31" s="19"/>
      <c r="G31" s="20"/>
      <c r="H31" s="18"/>
      <c r="I31" s="18"/>
      <c r="J31" s="18"/>
      <c r="K31" s="18"/>
      <c r="L31" s="18"/>
      <c r="M31" s="18"/>
    </row>
    <row r="32">
      <c r="A32" s="7">
        <v>11.0</v>
      </c>
      <c r="B32" s="9">
        <v>1.1321015E7</v>
      </c>
      <c r="C32" s="8" t="s">
        <v>64</v>
      </c>
      <c r="D32" s="10" t="s">
        <v>9</v>
      </c>
      <c r="E32" s="10" t="s">
        <v>10</v>
      </c>
      <c r="F32" s="38" t="s">
        <v>156</v>
      </c>
      <c r="G32" s="39" t="s">
        <v>41</v>
      </c>
      <c r="H32" s="46"/>
      <c r="I32" s="41" t="s">
        <v>30</v>
      </c>
      <c r="J32" s="41" t="s">
        <v>12</v>
      </c>
      <c r="K32" s="41" t="s">
        <v>143</v>
      </c>
      <c r="L32" s="41" t="s">
        <v>149</v>
      </c>
      <c r="M32" s="41" t="s">
        <v>157</v>
      </c>
      <c r="N32" s="43" t="s">
        <v>158</v>
      </c>
    </row>
    <row r="33">
      <c r="A33" s="14"/>
      <c r="B33" s="9">
        <v>1.1321025E7</v>
      </c>
      <c r="C33" s="8" t="s">
        <v>66</v>
      </c>
      <c r="D33" s="14"/>
      <c r="E33" s="14"/>
      <c r="F33" s="17"/>
      <c r="H33" s="14"/>
      <c r="I33" s="14"/>
      <c r="J33" s="14"/>
      <c r="K33" s="14"/>
      <c r="L33" s="14"/>
      <c r="M33" s="14"/>
    </row>
    <row r="34">
      <c r="A34" s="18"/>
      <c r="B34" s="9">
        <v>1.132106E7</v>
      </c>
      <c r="C34" s="8" t="s">
        <v>67</v>
      </c>
      <c r="D34" s="18"/>
      <c r="E34" s="18"/>
      <c r="F34" s="19"/>
      <c r="G34" s="20"/>
      <c r="H34" s="18"/>
      <c r="I34" s="18"/>
      <c r="J34" s="18"/>
      <c r="K34" s="18"/>
      <c r="L34" s="18"/>
      <c r="M34" s="18"/>
    </row>
    <row r="35">
      <c r="A35" s="7">
        <v>12.0</v>
      </c>
      <c r="B35" s="9">
        <v>1.1321034E7</v>
      </c>
      <c r="C35" s="8" t="s">
        <v>68</v>
      </c>
      <c r="D35" s="10" t="s">
        <v>9</v>
      </c>
      <c r="E35" s="10" t="s">
        <v>34</v>
      </c>
      <c r="F35" s="45" t="s">
        <v>69</v>
      </c>
      <c r="G35" s="12" t="s">
        <v>36</v>
      </c>
      <c r="H35" s="22"/>
      <c r="I35" s="44" t="s">
        <v>30</v>
      </c>
      <c r="J35" s="44" t="s">
        <v>12</v>
      </c>
      <c r="K35" s="44" t="s">
        <v>147</v>
      </c>
      <c r="L35" s="44" t="s">
        <v>149</v>
      </c>
      <c r="M35" s="44" t="s">
        <v>134</v>
      </c>
    </row>
    <row r="36">
      <c r="A36" s="14"/>
      <c r="B36" s="9">
        <v>1.1321055E7</v>
      </c>
      <c r="C36" s="8" t="s">
        <v>70</v>
      </c>
      <c r="D36" s="14"/>
      <c r="E36" s="14"/>
      <c r="F36" s="17"/>
      <c r="H36" s="14"/>
      <c r="I36" s="14"/>
      <c r="J36" s="14"/>
      <c r="K36" s="14"/>
      <c r="L36" s="14"/>
      <c r="M36" s="14"/>
    </row>
    <row r="37">
      <c r="A37" s="18"/>
      <c r="B37" s="9">
        <v>1.1321054E7</v>
      </c>
      <c r="C37" s="8" t="s">
        <v>71</v>
      </c>
      <c r="D37" s="18"/>
      <c r="E37" s="18"/>
      <c r="F37" s="19"/>
      <c r="G37" s="20"/>
      <c r="H37" s="18"/>
      <c r="I37" s="18"/>
      <c r="J37" s="18"/>
      <c r="K37" s="18"/>
      <c r="L37" s="18"/>
      <c r="M37" s="18"/>
    </row>
    <row r="38">
      <c r="A38" s="7">
        <v>13.0</v>
      </c>
      <c r="B38" s="9">
        <v>1.1321045E7</v>
      </c>
      <c r="C38" s="8" t="s">
        <v>72</v>
      </c>
      <c r="D38" s="23" t="s">
        <v>27</v>
      </c>
      <c r="E38" s="10" t="s">
        <v>10</v>
      </c>
      <c r="F38" s="38" t="s">
        <v>159</v>
      </c>
      <c r="G38" s="24" t="s">
        <v>30</v>
      </c>
      <c r="H38" s="22"/>
      <c r="I38" s="44" t="s">
        <v>36</v>
      </c>
      <c r="J38" s="44" t="s">
        <v>41</v>
      </c>
      <c r="K38" s="44" t="s">
        <v>160</v>
      </c>
      <c r="L38" s="44" t="s">
        <v>151</v>
      </c>
      <c r="M38" s="44" t="s">
        <v>145</v>
      </c>
    </row>
    <row r="39">
      <c r="A39" s="14"/>
      <c r="B39" s="9">
        <v>1.1321056E7</v>
      </c>
      <c r="C39" s="8" t="s">
        <v>74</v>
      </c>
      <c r="D39" s="14"/>
      <c r="E39" s="14"/>
      <c r="F39" s="17"/>
      <c r="H39" s="14"/>
      <c r="I39" s="14"/>
      <c r="J39" s="14"/>
      <c r="K39" s="14"/>
      <c r="L39" s="14"/>
      <c r="M39" s="14"/>
    </row>
    <row r="40">
      <c r="A40" s="18"/>
      <c r="B40" s="9">
        <v>1.1321057E7</v>
      </c>
      <c r="C40" s="8" t="s">
        <v>75</v>
      </c>
      <c r="D40" s="18"/>
      <c r="E40" s="18"/>
      <c r="F40" s="19"/>
      <c r="G40" s="20"/>
      <c r="H40" s="18"/>
      <c r="I40" s="18"/>
      <c r="J40" s="18"/>
      <c r="K40" s="18"/>
      <c r="L40" s="18"/>
      <c r="M40" s="18"/>
    </row>
    <row r="41">
      <c r="A41" s="52">
        <v>14.0</v>
      </c>
      <c r="B41" s="53">
        <v>1.1321064E7</v>
      </c>
      <c r="C41" s="54" t="s">
        <v>76</v>
      </c>
      <c r="D41" s="55" t="s">
        <v>27</v>
      </c>
      <c r="E41" s="55" t="s">
        <v>77</v>
      </c>
      <c r="F41" s="56" t="s">
        <v>161</v>
      </c>
      <c r="G41" s="57" t="s">
        <v>30</v>
      </c>
      <c r="H41" s="52" t="s">
        <v>79</v>
      </c>
      <c r="I41" s="58" t="s">
        <v>23</v>
      </c>
      <c r="J41" s="58" t="s">
        <v>12</v>
      </c>
      <c r="K41" s="58" t="s">
        <v>147</v>
      </c>
      <c r="L41" s="58" t="s">
        <v>162</v>
      </c>
      <c r="M41" s="58" t="s">
        <v>134</v>
      </c>
    </row>
    <row r="42">
      <c r="A42" s="14"/>
      <c r="B42" s="53">
        <v>1.1321052E7</v>
      </c>
      <c r="C42" s="54" t="s">
        <v>80</v>
      </c>
      <c r="D42" s="14"/>
      <c r="E42" s="14"/>
      <c r="F42" s="17"/>
      <c r="H42" s="14"/>
      <c r="I42" s="14"/>
      <c r="J42" s="14"/>
      <c r="K42" s="14"/>
      <c r="L42" s="14"/>
      <c r="M42" s="14"/>
    </row>
    <row r="43">
      <c r="A43" s="18"/>
      <c r="B43" s="53">
        <v>1.1321014E7</v>
      </c>
      <c r="C43" s="54" t="s">
        <v>81</v>
      </c>
      <c r="D43" s="18"/>
      <c r="E43" s="18"/>
      <c r="F43" s="19"/>
      <c r="G43" s="20"/>
      <c r="H43" s="18"/>
      <c r="I43" s="18"/>
      <c r="J43" s="18"/>
      <c r="K43" s="18"/>
      <c r="L43" s="18"/>
      <c r="M43" s="18"/>
    </row>
    <row r="44">
      <c r="A44" s="7">
        <v>15.0</v>
      </c>
      <c r="B44" s="9">
        <v>1.1321043E7</v>
      </c>
      <c r="C44" s="8" t="s">
        <v>82</v>
      </c>
      <c r="D44" s="10" t="s">
        <v>9</v>
      </c>
      <c r="E44" s="10" t="s">
        <v>45</v>
      </c>
      <c r="F44" s="38" t="s">
        <v>163</v>
      </c>
      <c r="G44" s="12" t="s">
        <v>36</v>
      </c>
      <c r="H44" s="7" t="s">
        <v>79</v>
      </c>
      <c r="I44" s="44" t="s">
        <v>12</v>
      </c>
      <c r="J44" s="44" t="s">
        <v>30</v>
      </c>
      <c r="K44" s="44" t="s">
        <v>147</v>
      </c>
      <c r="L44" s="44" t="s">
        <v>164</v>
      </c>
      <c r="M44" s="44" t="s">
        <v>145</v>
      </c>
    </row>
    <row r="45">
      <c r="A45" s="14"/>
      <c r="B45" s="9">
        <v>1.1321073E7</v>
      </c>
      <c r="C45" s="8" t="s">
        <v>84</v>
      </c>
      <c r="D45" s="14"/>
      <c r="E45" s="14"/>
      <c r="F45" s="17"/>
      <c r="H45" s="14"/>
      <c r="I45" s="14"/>
      <c r="J45" s="14"/>
      <c r="K45" s="14"/>
      <c r="L45" s="14"/>
      <c r="M45" s="14"/>
    </row>
    <row r="46">
      <c r="A46" s="18"/>
      <c r="B46" s="9">
        <v>1.1321023E7</v>
      </c>
      <c r="C46" s="8" t="s">
        <v>85</v>
      </c>
      <c r="D46" s="18"/>
      <c r="E46" s="18"/>
      <c r="F46" s="19"/>
      <c r="G46" s="20"/>
      <c r="H46" s="18"/>
      <c r="I46" s="18"/>
      <c r="J46" s="18"/>
      <c r="K46" s="18"/>
      <c r="L46" s="18"/>
      <c r="M46" s="18"/>
    </row>
    <row r="47">
      <c r="A47" s="7">
        <v>16.0</v>
      </c>
      <c r="B47" s="9">
        <v>1.1321008E7</v>
      </c>
      <c r="C47" s="8" t="s">
        <v>86</v>
      </c>
      <c r="D47" s="23" t="s">
        <v>27</v>
      </c>
      <c r="E47" s="10" t="s">
        <v>10</v>
      </c>
      <c r="F47" s="38" t="s">
        <v>165</v>
      </c>
      <c r="G47" s="24" t="s">
        <v>30</v>
      </c>
      <c r="H47" s="22"/>
      <c r="I47" s="44" t="s">
        <v>36</v>
      </c>
      <c r="J47" s="44" t="s">
        <v>12</v>
      </c>
      <c r="K47" s="44" t="s">
        <v>160</v>
      </c>
      <c r="L47" s="44" t="s">
        <v>139</v>
      </c>
      <c r="M47" s="44" t="s">
        <v>134</v>
      </c>
    </row>
    <row r="48">
      <c r="A48" s="14"/>
      <c r="B48" s="9">
        <v>1.1321019E7</v>
      </c>
      <c r="C48" s="8" t="s">
        <v>88</v>
      </c>
      <c r="D48" s="14"/>
      <c r="E48" s="14"/>
      <c r="F48" s="17"/>
      <c r="H48" s="14"/>
      <c r="I48" s="14"/>
      <c r="J48" s="14"/>
      <c r="K48" s="14"/>
      <c r="L48" s="14"/>
      <c r="M48" s="14"/>
    </row>
    <row r="49">
      <c r="A49" s="18"/>
      <c r="B49" s="9">
        <v>1.1321035E7</v>
      </c>
      <c r="C49" s="8" t="s">
        <v>89</v>
      </c>
      <c r="D49" s="18"/>
      <c r="E49" s="18"/>
      <c r="F49" s="19"/>
      <c r="G49" s="20"/>
      <c r="H49" s="18"/>
      <c r="I49" s="18"/>
      <c r="J49" s="18"/>
      <c r="K49" s="18"/>
      <c r="L49" s="18"/>
      <c r="M49" s="18"/>
    </row>
    <row r="50">
      <c r="A50" s="7">
        <v>17.0</v>
      </c>
      <c r="B50" s="9">
        <v>1.1321037E7</v>
      </c>
      <c r="C50" s="8" t="s">
        <v>90</v>
      </c>
      <c r="D50" s="10" t="s">
        <v>9</v>
      </c>
      <c r="E50" s="10" t="s">
        <v>10</v>
      </c>
      <c r="F50" s="38" t="s">
        <v>166</v>
      </c>
      <c r="G50" s="24" t="s">
        <v>12</v>
      </c>
      <c r="H50" s="22"/>
      <c r="I50" s="44" t="s">
        <v>30</v>
      </c>
      <c r="J50" s="44" t="s">
        <v>41</v>
      </c>
      <c r="K50" s="44" t="s">
        <v>138</v>
      </c>
      <c r="L50" s="44" t="s">
        <v>167</v>
      </c>
      <c r="M50" s="44" t="s">
        <v>145</v>
      </c>
    </row>
    <row r="51">
      <c r="A51" s="14"/>
      <c r="B51" s="9">
        <v>1.1321024E7</v>
      </c>
      <c r="C51" s="8" t="s">
        <v>92</v>
      </c>
      <c r="D51" s="14"/>
      <c r="E51" s="14"/>
      <c r="F51" s="17"/>
      <c r="H51" s="14"/>
      <c r="I51" s="14"/>
      <c r="J51" s="14"/>
      <c r="K51" s="14"/>
      <c r="L51" s="14"/>
      <c r="M51" s="14"/>
    </row>
    <row r="52">
      <c r="A52" s="18"/>
      <c r="B52" s="9">
        <v>1.1321066E7</v>
      </c>
      <c r="C52" s="8" t="s">
        <v>93</v>
      </c>
      <c r="D52" s="18"/>
      <c r="E52" s="18"/>
      <c r="F52" s="19"/>
      <c r="G52" s="20"/>
      <c r="H52" s="18"/>
      <c r="I52" s="18"/>
      <c r="J52" s="18"/>
      <c r="K52" s="18"/>
      <c r="L52" s="18"/>
      <c r="M52" s="18"/>
    </row>
    <row r="53">
      <c r="A53" s="7">
        <v>18.0</v>
      </c>
      <c r="B53" s="9">
        <v>1.1321002E7</v>
      </c>
      <c r="C53" s="8" t="s">
        <v>94</v>
      </c>
      <c r="D53" s="10" t="s">
        <v>95</v>
      </c>
      <c r="E53" s="10" t="s">
        <v>96</v>
      </c>
      <c r="F53" s="38" t="s">
        <v>168</v>
      </c>
      <c r="G53" s="24" t="s">
        <v>23</v>
      </c>
      <c r="H53" s="22"/>
      <c r="I53" s="44" t="s">
        <v>12</v>
      </c>
      <c r="J53" s="44" t="s">
        <v>36</v>
      </c>
      <c r="K53" s="44" t="s">
        <v>135</v>
      </c>
      <c r="L53" s="44" t="s">
        <v>139</v>
      </c>
      <c r="M53" s="44" t="s">
        <v>145</v>
      </c>
    </row>
    <row r="54">
      <c r="A54" s="14"/>
      <c r="B54" s="9">
        <v>1.1321017E7</v>
      </c>
      <c r="C54" s="8" t="s">
        <v>98</v>
      </c>
      <c r="D54" s="14"/>
      <c r="E54" s="14"/>
      <c r="F54" s="17"/>
      <c r="H54" s="14"/>
      <c r="I54" s="14"/>
      <c r="J54" s="14"/>
      <c r="K54" s="14"/>
      <c r="L54" s="14"/>
      <c r="M54" s="14"/>
    </row>
    <row r="55">
      <c r="A55" s="18"/>
      <c r="B55" s="9">
        <v>1.1321029E7</v>
      </c>
      <c r="C55" s="8" t="s">
        <v>99</v>
      </c>
      <c r="D55" s="18"/>
      <c r="E55" s="18"/>
      <c r="F55" s="19"/>
      <c r="G55" s="20"/>
      <c r="H55" s="18"/>
      <c r="I55" s="18"/>
      <c r="J55" s="18"/>
      <c r="K55" s="18"/>
      <c r="L55" s="18"/>
      <c r="M55" s="18"/>
    </row>
    <row r="56">
      <c r="A56" s="52">
        <v>19.0</v>
      </c>
      <c r="B56" s="53">
        <v>1.1321009E7</v>
      </c>
      <c r="C56" s="54" t="s">
        <v>100</v>
      </c>
      <c r="D56" s="59" t="s">
        <v>20</v>
      </c>
      <c r="E56" s="60" t="s">
        <v>101</v>
      </c>
      <c r="F56" s="56" t="s">
        <v>169</v>
      </c>
      <c r="G56" s="61" t="s">
        <v>23</v>
      </c>
      <c r="H56" s="52" t="s">
        <v>16</v>
      </c>
      <c r="I56" s="58" t="s">
        <v>41</v>
      </c>
      <c r="J56" s="58" t="s">
        <v>36</v>
      </c>
      <c r="K56" s="58" t="s">
        <v>147</v>
      </c>
      <c r="L56" s="58" t="s">
        <v>170</v>
      </c>
      <c r="M56" s="58" t="s">
        <v>171</v>
      </c>
      <c r="N56" s="43" t="s">
        <v>172</v>
      </c>
    </row>
    <row r="57">
      <c r="A57" s="14"/>
      <c r="B57" s="53">
        <v>1.1321011E7</v>
      </c>
      <c r="C57" s="54" t="s">
        <v>103</v>
      </c>
      <c r="D57" s="14"/>
      <c r="E57" s="14"/>
      <c r="F57" s="17"/>
      <c r="H57" s="14"/>
      <c r="I57" s="14"/>
      <c r="J57" s="14"/>
      <c r="K57" s="14"/>
      <c r="L57" s="14"/>
      <c r="M57" s="14"/>
    </row>
    <row r="58">
      <c r="A58" s="18"/>
      <c r="B58" s="53">
        <v>1.1321022E7</v>
      </c>
      <c r="C58" s="54" t="s">
        <v>104</v>
      </c>
      <c r="D58" s="18"/>
      <c r="E58" s="18"/>
      <c r="F58" s="19"/>
      <c r="G58" s="20"/>
      <c r="H58" s="18"/>
      <c r="I58" s="18"/>
      <c r="J58" s="18"/>
      <c r="K58" s="18"/>
      <c r="L58" s="18"/>
      <c r="M58" s="18"/>
    </row>
    <row r="59">
      <c r="A59" s="7">
        <v>20.0</v>
      </c>
      <c r="B59" s="9">
        <v>1.1321001E7</v>
      </c>
      <c r="C59" s="8" t="s">
        <v>105</v>
      </c>
      <c r="D59" s="21" t="s">
        <v>50</v>
      </c>
      <c r="E59" s="10" t="s">
        <v>51</v>
      </c>
      <c r="F59" s="45" t="s">
        <v>106</v>
      </c>
      <c r="G59" s="39" t="s">
        <v>53</v>
      </c>
      <c r="H59" s="46"/>
      <c r="I59" s="41" t="s">
        <v>173</v>
      </c>
      <c r="J59" s="41" t="s">
        <v>174</v>
      </c>
      <c r="K59" s="41" t="s">
        <v>143</v>
      </c>
      <c r="L59" s="41" t="s">
        <v>175</v>
      </c>
      <c r="M59" s="41" t="s">
        <v>145</v>
      </c>
      <c r="N59" s="43" t="s">
        <v>176</v>
      </c>
      <c r="P59" s="43" t="s">
        <v>177</v>
      </c>
    </row>
    <row r="60">
      <c r="A60" s="14"/>
      <c r="B60" s="9">
        <v>1.1321031E7</v>
      </c>
      <c r="C60" s="8" t="s">
        <v>107</v>
      </c>
      <c r="D60" s="14"/>
      <c r="E60" s="14"/>
      <c r="F60" s="17"/>
      <c r="H60" s="14"/>
      <c r="I60" s="14"/>
      <c r="J60" s="14"/>
      <c r="K60" s="14"/>
      <c r="L60" s="14"/>
      <c r="M60" s="14"/>
      <c r="N60" s="62" t="s">
        <v>147</v>
      </c>
      <c r="O60" s="43" t="s">
        <v>178</v>
      </c>
    </row>
    <row r="61">
      <c r="A61" s="18"/>
      <c r="B61" s="9">
        <v>1.1321063E7</v>
      </c>
      <c r="C61" s="8" t="s">
        <v>108</v>
      </c>
      <c r="D61" s="18"/>
      <c r="E61" s="18"/>
      <c r="F61" s="19"/>
      <c r="G61" s="20"/>
      <c r="H61" s="18"/>
      <c r="I61" s="18"/>
      <c r="J61" s="18"/>
      <c r="K61" s="18"/>
      <c r="L61" s="18"/>
      <c r="M61" s="18"/>
    </row>
    <row r="62">
      <c r="A62" s="7">
        <v>21.0</v>
      </c>
      <c r="B62" s="9">
        <v>1.1321012E7</v>
      </c>
      <c r="C62" s="8" t="s">
        <v>109</v>
      </c>
      <c r="D62" s="10" t="s">
        <v>9</v>
      </c>
      <c r="E62" s="10" t="s">
        <v>10</v>
      </c>
      <c r="F62" s="45" t="s">
        <v>110</v>
      </c>
      <c r="G62" s="34" t="s">
        <v>41</v>
      </c>
      <c r="H62" s="22"/>
      <c r="I62" s="44" t="s">
        <v>36</v>
      </c>
      <c r="J62" s="44" t="s">
        <v>12</v>
      </c>
      <c r="K62" s="44" t="s">
        <v>135</v>
      </c>
      <c r="L62" s="44" t="s">
        <v>149</v>
      </c>
      <c r="M62" s="44" t="s">
        <v>145</v>
      </c>
    </row>
    <row r="63">
      <c r="A63" s="14"/>
      <c r="B63" s="9">
        <v>1.1321061E7</v>
      </c>
      <c r="C63" s="8" t="s">
        <v>111</v>
      </c>
      <c r="D63" s="14"/>
      <c r="E63" s="14"/>
      <c r="F63" s="17"/>
      <c r="H63" s="14"/>
      <c r="I63" s="14"/>
      <c r="J63" s="14"/>
      <c r="K63" s="14"/>
      <c r="L63" s="14"/>
      <c r="M63" s="14"/>
    </row>
    <row r="64">
      <c r="A64" s="18"/>
      <c r="B64" s="9">
        <v>1.1321067E7</v>
      </c>
      <c r="C64" s="8" t="s">
        <v>112</v>
      </c>
      <c r="D64" s="18"/>
      <c r="E64" s="18"/>
      <c r="F64" s="19"/>
      <c r="G64" s="20"/>
      <c r="H64" s="18"/>
      <c r="I64" s="18"/>
      <c r="J64" s="18"/>
      <c r="K64" s="18"/>
      <c r="L64" s="18"/>
      <c r="M64" s="18"/>
    </row>
    <row r="65">
      <c r="A65" s="7">
        <v>22.0</v>
      </c>
      <c r="B65" s="9">
        <v>1.1321003E7</v>
      </c>
      <c r="C65" s="8" t="s">
        <v>113</v>
      </c>
      <c r="D65" s="23" t="s">
        <v>27</v>
      </c>
      <c r="E65" s="35" t="s">
        <v>114</v>
      </c>
      <c r="F65" s="45" t="s">
        <v>179</v>
      </c>
      <c r="G65" s="39" t="s">
        <v>30</v>
      </c>
      <c r="H65" s="46"/>
      <c r="I65" s="41" t="s">
        <v>23</v>
      </c>
      <c r="J65" s="41" t="s">
        <v>36</v>
      </c>
      <c r="K65" s="41" t="s">
        <v>143</v>
      </c>
      <c r="L65" s="41" t="s">
        <v>180</v>
      </c>
      <c r="M65" s="41" t="s">
        <v>134</v>
      </c>
      <c r="N65" s="43" t="s">
        <v>181</v>
      </c>
      <c r="P65" s="43" t="s">
        <v>140</v>
      </c>
    </row>
    <row r="66">
      <c r="A66" s="14"/>
      <c r="B66" s="9">
        <v>1.1321006E7</v>
      </c>
      <c r="C66" s="8" t="s">
        <v>116</v>
      </c>
      <c r="D66" s="14"/>
      <c r="E66" s="17"/>
      <c r="F66" s="17"/>
      <c r="H66" s="14"/>
      <c r="I66" s="14"/>
      <c r="J66" s="14"/>
      <c r="K66" s="14"/>
      <c r="L66" s="14"/>
      <c r="M66" s="14"/>
    </row>
    <row r="67">
      <c r="A67" s="18"/>
      <c r="B67" s="9">
        <v>1.132102E7</v>
      </c>
      <c r="C67" s="8" t="s">
        <v>117</v>
      </c>
      <c r="D67" s="18"/>
      <c r="E67" s="19"/>
      <c r="F67" s="19"/>
      <c r="G67" s="20"/>
      <c r="H67" s="18"/>
      <c r="I67" s="18"/>
      <c r="J67" s="18"/>
      <c r="K67" s="18"/>
      <c r="L67" s="18"/>
      <c r="M67" s="18"/>
    </row>
    <row r="68">
      <c r="A68" s="7">
        <v>23.0</v>
      </c>
      <c r="B68" s="9">
        <v>1.1321042E7</v>
      </c>
      <c r="C68" s="8" t="s">
        <v>118</v>
      </c>
      <c r="D68" s="10" t="s">
        <v>9</v>
      </c>
      <c r="E68" s="10" t="s">
        <v>10</v>
      </c>
      <c r="F68" s="45" t="s">
        <v>119</v>
      </c>
      <c r="G68" s="12" t="s">
        <v>41</v>
      </c>
      <c r="H68" s="22"/>
      <c r="I68" s="44" t="s">
        <v>30</v>
      </c>
      <c r="J68" s="44" t="s">
        <v>23</v>
      </c>
      <c r="K68" s="48" t="s">
        <v>160</v>
      </c>
      <c r="L68" s="44" t="s">
        <v>155</v>
      </c>
      <c r="M68" s="44" t="s">
        <v>145</v>
      </c>
      <c r="P68" s="43" t="s">
        <v>140</v>
      </c>
    </row>
    <row r="69">
      <c r="A69" s="14"/>
      <c r="B69" s="9">
        <v>1.1321049E7</v>
      </c>
      <c r="C69" s="8" t="s">
        <v>120</v>
      </c>
      <c r="D69" s="14"/>
      <c r="E69" s="14"/>
      <c r="F69" s="17"/>
      <c r="H69" s="14"/>
      <c r="I69" s="14"/>
      <c r="J69" s="14"/>
      <c r="K69" s="14"/>
      <c r="L69" s="14"/>
      <c r="M69" s="14"/>
    </row>
    <row r="70">
      <c r="A70" s="18"/>
      <c r="B70" s="9">
        <v>1.1321027E7</v>
      </c>
      <c r="C70" s="8" t="s">
        <v>121</v>
      </c>
      <c r="D70" s="18"/>
      <c r="E70" s="18"/>
      <c r="F70" s="19"/>
      <c r="G70" s="20"/>
      <c r="H70" s="18"/>
      <c r="I70" s="18"/>
      <c r="J70" s="18"/>
      <c r="K70" s="18"/>
      <c r="L70" s="18"/>
      <c r="M70" s="18"/>
    </row>
    <row r="71">
      <c r="A71" s="7">
        <v>24.0</v>
      </c>
      <c r="B71" s="9">
        <v>1.1321046E7</v>
      </c>
      <c r="C71" s="8" t="s">
        <v>122</v>
      </c>
      <c r="D71" s="21" t="s">
        <v>20</v>
      </c>
      <c r="E71" s="10" t="s">
        <v>21</v>
      </c>
      <c r="F71" s="45" t="s">
        <v>123</v>
      </c>
      <c r="G71" s="39" t="s">
        <v>23</v>
      </c>
      <c r="H71" s="46"/>
      <c r="I71" s="41" t="s">
        <v>36</v>
      </c>
      <c r="J71" s="41" t="s">
        <v>41</v>
      </c>
      <c r="K71" s="41" t="s">
        <v>150</v>
      </c>
      <c r="L71" s="41" t="s">
        <v>149</v>
      </c>
      <c r="M71" s="41" t="s">
        <v>145</v>
      </c>
      <c r="N71" s="43" t="s">
        <v>182</v>
      </c>
    </row>
    <row r="72">
      <c r="A72" s="14"/>
      <c r="B72" s="9">
        <v>1.1321051E7</v>
      </c>
      <c r="C72" s="8" t="s">
        <v>124</v>
      </c>
      <c r="D72" s="14"/>
      <c r="E72" s="14"/>
      <c r="F72" s="17"/>
      <c r="H72" s="14"/>
      <c r="I72" s="14"/>
      <c r="J72" s="14"/>
      <c r="K72" s="14"/>
      <c r="L72" s="14"/>
      <c r="M72" s="14"/>
    </row>
    <row r="73">
      <c r="A73" s="18"/>
      <c r="B73" s="9">
        <v>1.1321065E7</v>
      </c>
      <c r="C73" s="8" t="s">
        <v>125</v>
      </c>
      <c r="D73" s="18"/>
      <c r="E73" s="18"/>
      <c r="F73" s="19"/>
      <c r="G73" s="20"/>
      <c r="H73" s="18"/>
      <c r="I73" s="18"/>
      <c r="J73" s="18"/>
      <c r="K73" s="18"/>
      <c r="L73" s="18"/>
      <c r="M73" s="18"/>
    </row>
    <row r="74">
      <c r="A74" s="36"/>
      <c r="B74" s="36"/>
      <c r="C74" s="36"/>
      <c r="D74" s="36"/>
      <c r="E74" s="36"/>
      <c r="F74" s="36"/>
      <c r="G74" s="36"/>
      <c r="H74" s="36"/>
    </row>
    <row r="76">
      <c r="G76" s="43" t="s">
        <v>183</v>
      </c>
      <c r="H76" s="43" t="s">
        <v>184</v>
      </c>
      <c r="J76" s="43" t="s">
        <v>126</v>
      </c>
      <c r="L76" s="43" t="s">
        <v>127</v>
      </c>
    </row>
    <row r="77">
      <c r="G77" s="43" t="s">
        <v>30</v>
      </c>
      <c r="H77" s="63">
        <f t="shared" ref="H77:H82" si="1">COUNTIF($G$2:$G$73, G77)</f>
        <v>5</v>
      </c>
      <c r="J77" s="43" t="s">
        <v>30</v>
      </c>
      <c r="K77" s="63">
        <f t="shared" ref="K77:K83" si="2">COUNTIF($I$2:$I$73, J77)</f>
        <v>6</v>
      </c>
      <c r="L77" s="43" t="s">
        <v>30</v>
      </c>
      <c r="M77" s="63">
        <f t="shared" ref="M77:M83" si="3">COUNTIF($J$2:$J$73, L77)</f>
        <v>3</v>
      </c>
      <c r="O77" s="63">
        <f t="shared" ref="O77:O83" si="4">H77+K77+M77</f>
        <v>14</v>
      </c>
    </row>
    <row r="78">
      <c r="G78" s="43" t="s">
        <v>23</v>
      </c>
      <c r="H78" s="63">
        <f t="shared" si="1"/>
        <v>5</v>
      </c>
      <c r="J78" s="43" t="s">
        <v>23</v>
      </c>
      <c r="K78" s="63">
        <f t="shared" si="2"/>
        <v>3</v>
      </c>
      <c r="L78" s="43" t="s">
        <v>23</v>
      </c>
      <c r="M78" s="63">
        <f t="shared" si="3"/>
        <v>6</v>
      </c>
      <c r="O78" s="63">
        <f t="shared" si="4"/>
        <v>14</v>
      </c>
    </row>
    <row r="79">
      <c r="G79" s="43" t="s">
        <v>36</v>
      </c>
      <c r="H79" s="63">
        <f t="shared" si="1"/>
        <v>4</v>
      </c>
      <c r="J79" s="43" t="s">
        <v>36</v>
      </c>
      <c r="K79" s="63">
        <f t="shared" si="2"/>
        <v>5</v>
      </c>
      <c r="L79" s="43" t="s">
        <v>36</v>
      </c>
      <c r="M79" s="63">
        <f t="shared" si="3"/>
        <v>4</v>
      </c>
      <c r="O79" s="63">
        <f t="shared" si="4"/>
        <v>13</v>
      </c>
    </row>
    <row r="80">
      <c r="G80" s="43" t="s">
        <v>41</v>
      </c>
      <c r="H80" s="63">
        <f t="shared" si="1"/>
        <v>4</v>
      </c>
      <c r="J80" s="43" t="s">
        <v>41</v>
      </c>
      <c r="K80" s="63">
        <f t="shared" si="2"/>
        <v>5</v>
      </c>
      <c r="L80" s="43" t="s">
        <v>41</v>
      </c>
      <c r="M80" s="63">
        <f t="shared" si="3"/>
        <v>5</v>
      </c>
      <c r="O80" s="63">
        <f t="shared" si="4"/>
        <v>14</v>
      </c>
    </row>
    <row r="81">
      <c r="G81" s="43" t="s">
        <v>12</v>
      </c>
      <c r="H81" s="63">
        <f t="shared" si="1"/>
        <v>4</v>
      </c>
      <c r="J81" s="43" t="s">
        <v>12</v>
      </c>
      <c r="K81" s="63">
        <f t="shared" si="2"/>
        <v>4</v>
      </c>
      <c r="L81" s="43" t="s">
        <v>12</v>
      </c>
      <c r="M81" s="63">
        <f t="shared" si="3"/>
        <v>5</v>
      </c>
      <c r="O81" s="63">
        <f t="shared" si="4"/>
        <v>13</v>
      </c>
    </row>
    <row r="82">
      <c r="G82" s="43" t="s">
        <v>53</v>
      </c>
      <c r="H82" s="63">
        <f t="shared" si="1"/>
        <v>2</v>
      </c>
      <c r="J82" s="43" t="s">
        <v>53</v>
      </c>
      <c r="K82" s="63">
        <f t="shared" si="2"/>
        <v>0</v>
      </c>
      <c r="L82" s="43" t="s">
        <v>53</v>
      </c>
      <c r="M82" s="63">
        <f t="shared" si="3"/>
        <v>0</v>
      </c>
      <c r="O82" s="63">
        <f t="shared" si="4"/>
        <v>2</v>
      </c>
    </row>
    <row r="83">
      <c r="J83" s="43" t="s">
        <v>173</v>
      </c>
      <c r="K83" s="63">
        <f t="shared" si="2"/>
        <v>1</v>
      </c>
      <c r="L83" s="43" t="s">
        <v>174</v>
      </c>
      <c r="M83" s="63">
        <f t="shared" si="3"/>
        <v>1</v>
      </c>
      <c r="O83" s="63">
        <f t="shared" si="4"/>
        <v>2</v>
      </c>
    </row>
    <row r="86">
      <c r="H86" s="63">
        <f>sum(H77:H82)</f>
        <v>24</v>
      </c>
      <c r="K86" s="63">
        <f>sum(K77:K83)</f>
        <v>24</v>
      </c>
      <c r="M86" s="63">
        <f>sum(M77:M83)</f>
        <v>24</v>
      </c>
    </row>
    <row r="87">
      <c r="G87" s="43" t="s">
        <v>7</v>
      </c>
    </row>
    <row r="88">
      <c r="G88" s="43" t="s">
        <v>16</v>
      </c>
    </row>
    <row r="89">
      <c r="G89" s="43" t="s">
        <v>79</v>
      </c>
    </row>
  </sheetData>
  <mergeCells count="266">
    <mergeCell ref="B3:B4"/>
    <mergeCell ref="C3:C4"/>
    <mergeCell ref="A5:A7"/>
    <mergeCell ref="E5:E7"/>
    <mergeCell ref="F5:F7"/>
    <mergeCell ref="G5:G7"/>
    <mergeCell ref="G8:G10"/>
    <mergeCell ref="D5:D7"/>
    <mergeCell ref="D8:D10"/>
    <mergeCell ref="D11:D13"/>
    <mergeCell ref="E11:E13"/>
    <mergeCell ref="F11:F13"/>
    <mergeCell ref="G11:G13"/>
    <mergeCell ref="H11:H13"/>
    <mergeCell ref="J2:J4"/>
    <mergeCell ref="K2:K4"/>
    <mergeCell ref="L2:L4"/>
    <mergeCell ref="M2:M4"/>
    <mergeCell ref="A2:A4"/>
    <mergeCell ref="D2:D4"/>
    <mergeCell ref="E2:E4"/>
    <mergeCell ref="F2:F4"/>
    <mergeCell ref="G2:G4"/>
    <mergeCell ref="H2:H4"/>
    <mergeCell ref="I2:I4"/>
    <mergeCell ref="H5:H7"/>
    <mergeCell ref="I5:I7"/>
    <mergeCell ref="J5:J7"/>
    <mergeCell ref="K5:K7"/>
    <mergeCell ref="L5:L7"/>
    <mergeCell ref="M5:M7"/>
    <mergeCell ref="E8:E10"/>
    <mergeCell ref="F8:F10"/>
    <mergeCell ref="H8:H10"/>
    <mergeCell ref="I8:I10"/>
    <mergeCell ref="J8:J10"/>
    <mergeCell ref="K8:K10"/>
    <mergeCell ref="L8:L10"/>
    <mergeCell ref="M8:M10"/>
    <mergeCell ref="I11:I13"/>
    <mergeCell ref="J11:J13"/>
    <mergeCell ref="K11:K13"/>
    <mergeCell ref="L11:L13"/>
    <mergeCell ref="M11:M13"/>
    <mergeCell ref="K29:K31"/>
    <mergeCell ref="L29:L31"/>
    <mergeCell ref="M29:M31"/>
    <mergeCell ref="D29:D31"/>
    <mergeCell ref="E29:E31"/>
    <mergeCell ref="F29:F31"/>
    <mergeCell ref="G29:G31"/>
    <mergeCell ref="H29:H31"/>
    <mergeCell ref="I29:I31"/>
    <mergeCell ref="J29:J31"/>
    <mergeCell ref="K44:K46"/>
    <mergeCell ref="L44:L46"/>
    <mergeCell ref="M44:M46"/>
    <mergeCell ref="D44:D46"/>
    <mergeCell ref="E44:E46"/>
    <mergeCell ref="F44:F46"/>
    <mergeCell ref="G44:G46"/>
    <mergeCell ref="H44:H46"/>
    <mergeCell ref="I44:I46"/>
    <mergeCell ref="J44:J46"/>
    <mergeCell ref="K32:K34"/>
    <mergeCell ref="L32:L34"/>
    <mergeCell ref="M32:M34"/>
    <mergeCell ref="D32:D34"/>
    <mergeCell ref="E32:E34"/>
    <mergeCell ref="F32:F34"/>
    <mergeCell ref="G32:G34"/>
    <mergeCell ref="H32:H34"/>
    <mergeCell ref="I32:I34"/>
    <mergeCell ref="J32:J34"/>
    <mergeCell ref="K35:K37"/>
    <mergeCell ref="L35:L37"/>
    <mergeCell ref="M35:M37"/>
    <mergeCell ref="D35:D37"/>
    <mergeCell ref="E35:E37"/>
    <mergeCell ref="F35:F37"/>
    <mergeCell ref="G35:G37"/>
    <mergeCell ref="H35:H37"/>
    <mergeCell ref="I35:I37"/>
    <mergeCell ref="J35:J37"/>
    <mergeCell ref="K38:K40"/>
    <mergeCell ref="L38:L40"/>
    <mergeCell ref="M38:M40"/>
    <mergeCell ref="D38:D40"/>
    <mergeCell ref="E38:E40"/>
    <mergeCell ref="F38:F40"/>
    <mergeCell ref="G38:G40"/>
    <mergeCell ref="H38:H40"/>
    <mergeCell ref="I38:I40"/>
    <mergeCell ref="J38:J40"/>
    <mergeCell ref="K47:K49"/>
    <mergeCell ref="L47:L49"/>
    <mergeCell ref="M47:M49"/>
    <mergeCell ref="D47:D49"/>
    <mergeCell ref="E47:E49"/>
    <mergeCell ref="F47:F49"/>
    <mergeCell ref="G47:G49"/>
    <mergeCell ref="H47:H49"/>
    <mergeCell ref="I47:I49"/>
    <mergeCell ref="J47:J49"/>
    <mergeCell ref="K59:K61"/>
    <mergeCell ref="L59:L61"/>
    <mergeCell ref="M59:M61"/>
    <mergeCell ref="D59:D61"/>
    <mergeCell ref="E59:E61"/>
    <mergeCell ref="F59:F61"/>
    <mergeCell ref="G59:G61"/>
    <mergeCell ref="H59:H61"/>
    <mergeCell ref="I59:I61"/>
    <mergeCell ref="J59:J61"/>
    <mergeCell ref="K41:K43"/>
    <mergeCell ref="L41:L43"/>
    <mergeCell ref="M41:M43"/>
    <mergeCell ref="D41:D43"/>
    <mergeCell ref="E41:E43"/>
    <mergeCell ref="F41:F43"/>
    <mergeCell ref="G41:G43"/>
    <mergeCell ref="H41:H43"/>
    <mergeCell ref="I41:I43"/>
    <mergeCell ref="J41:J43"/>
    <mergeCell ref="K50:K52"/>
    <mergeCell ref="L50:L52"/>
    <mergeCell ref="M50:M52"/>
    <mergeCell ref="D50:D52"/>
    <mergeCell ref="E50:E52"/>
    <mergeCell ref="F50:F52"/>
    <mergeCell ref="G50:G52"/>
    <mergeCell ref="H50:H52"/>
    <mergeCell ref="I50:I52"/>
    <mergeCell ref="J50:J52"/>
    <mergeCell ref="K53:K55"/>
    <mergeCell ref="L53:L55"/>
    <mergeCell ref="M53:M55"/>
    <mergeCell ref="D53:D55"/>
    <mergeCell ref="E53:E55"/>
    <mergeCell ref="F53:F55"/>
    <mergeCell ref="G53:G55"/>
    <mergeCell ref="H53:H55"/>
    <mergeCell ref="I53:I55"/>
    <mergeCell ref="J53:J55"/>
    <mergeCell ref="K62:K64"/>
    <mergeCell ref="L62:L64"/>
    <mergeCell ref="M62:M64"/>
    <mergeCell ref="D62:D64"/>
    <mergeCell ref="E62:E64"/>
    <mergeCell ref="F62:F64"/>
    <mergeCell ref="G62:G64"/>
    <mergeCell ref="H62:H64"/>
    <mergeCell ref="I62:I64"/>
    <mergeCell ref="J62:J64"/>
    <mergeCell ref="K14:K16"/>
    <mergeCell ref="L14:L16"/>
    <mergeCell ref="M14:M16"/>
    <mergeCell ref="D14:D16"/>
    <mergeCell ref="E14:E16"/>
    <mergeCell ref="F14:F16"/>
    <mergeCell ref="G14:G16"/>
    <mergeCell ref="H14:H16"/>
    <mergeCell ref="I14:I16"/>
    <mergeCell ref="J14:J16"/>
    <mergeCell ref="K17:K19"/>
    <mergeCell ref="L17:L19"/>
    <mergeCell ref="M17:M19"/>
    <mergeCell ref="D17:D19"/>
    <mergeCell ref="E17:E19"/>
    <mergeCell ref="F17:F19"/>
    <mergeCell ref="G17:G19"/>
    <mergeCell ref="H17:H19"/>
    <mergeCell ref="I17:I19"/>
    <mergeCell ref="J17:J19"/>
    <mergeCell ref="K20:K22"/>
    <mergeCell ref="L20:L22"/>
    <mergeCell ref="M20:M22"/>
    <mergeCell ref="D20:D22"/>
    <mergeCell ref="E20:E22"/>
    <mergeCell ref="F20:F22"/>
    <mergeCell ref="G20:G22"/>
    <mergeCell ref="H20:H22"/>
    <mergeCell ref="I20:I22"/>
    <mergeCell ref="J20:J22"/>
    <mergeCell ref="K23:K25"/>
    <mergeCell ref="L23:L25"/>
    <mergeCell ref="M23:M25"/>
    <mergeCell ref="D23:D25"/>
    <mergeCell ref="E23:E25"/>
    <mergeCell ref="F23:F25"/>
    <mergeCell ref="G23:G25"/>
    <mergeCell ref="H23:H25"/>
    <mergeCell ref="I23:I25"/>
    <mergeCell ref="J23:J25"/>
    <mergeCell ref="K26:K28"/>
    <mergeCell ref="L26:L28"/>
    <mergeCell ref="M26:M28"/>
    <mergeCell ref="D26:D28"/>
    <mergeCell ref="E26:E28"/>
    <mergeCell ref="F26:F28"/>
    <mergeCell ref="G26:G28"/>
    <mergeCell ref="H26:H28"/>
    <mergeCell ref="I26:I28"/>
    <mergeCell ref="J26:J28"/>
    <mergeCell ref="A8:A10"/>
    <mergeCell ref="A11:A13"/>
    <mergeCell ref="A14:A16"/>
    <mergeCell ref="A17:A19"/>
    <mergeCell ref="A20:A22"/>
    <mergeCell ref="A23:A25"/>
    <mergeCell ref="A26:A28"/>
    <mergeCell ref="A50:A52"/>
    <mergeCell ref="A53:A55"/>
    <mergeCell ref="A56:A58"/>
    <mergeCell ref="A59:A61"/>
    <mergeCell ref="A62:A64"/>
    <mergeCell ref="A65:A67"/>
    <mergeCell ref="A68:A70"/>
    <mergeCell ref="A71:A73"/>
    <mergeCell ref="A29:A31"/>
    <mergeCell ref="A32:A34"/>
    <mergeCell ref="A35:A37"/>
    <mergeCell ref="A38:A40"/>
    <mergeCell ref="A41:A43"/>
    <mergeCell ref="A44:A46"/>
    <mergeCell ref="A47:A49"/>
    <mergeCell ref="K56:K58"/>
    <mergeCell ref="L56:L58"/>
    <mergeCell ref="M56:M58"/>
    <mergeCell ref="D56:D58"/>
    <mergeCell ref="E56:E58"/>
    <mergeCell ref="F56:F58"/>
    <mergeCell ref="G56:G58"/>
    <mergeCell ref="H56:H58"/>
    <mergeCell ref="I56:I58"/>
    <mergeCell ref="J56:J58"/>
    <mergeCell ref="K65:K67"/>
    <mergeCell ref="L65:L67"/>
    <mergeCell ref="M65:M67"/>
    <mergeCell ref="D65:D67"/>
    <mergeCell ref="E65:E67"/>
    <mergeCell ref="F65:F67"/>
    <mergeCell ref="G65:G67"/>
    <mergeCell ref="H65:H67"/>
    <mergeCell ref="I65:I67"/>
    <mergeCell ref="J65:J67"/>
    <mergeCell ref="K68:K70"/>
    <mergeCell ref="L68:L70"/>
    <mergeCell ref="M68:M70"/>
    <mergeCell ref="D68:D70"/>
    <mergeCell ref="E68:E70"/>
    <mergeCell ref="F68:F70"/>
    <mergeCell ref="G68:G70"/>
    <mergeCell ref="H68:H70"/>
    <mergeCell ref="I68:I70"/>
    <mergeCell ref="J68:J70"/>
    <mergeCell ref="K71:K73"/>
    <mergeCell ref="L71:L73"/>
    <mergeCell ref="M71:M73"/>
    <mergeCell ref="D71:D73"/>
    <mergeCell ref="E71:E73"/>
    <mergeCell ref="F71:F73"/>
    <mergeCell ref="G71:G73"/>
    <mergeCell ref="H71:H73"/>
    <mergeCell ref="I71:I73"/>
    <mergeCell ref="J71:J7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.43"/>
    <col customWidth="1" min="2" max="2" width="10.71"/>
    <col customWidth="1" min="3" max="3" width="16.86"/>
    <col customWidth="1" hidden="1" min="4" max="4" width="18.14"/>
    <col customWidth="1" hidden="1" min="5" max="5" width="18.86"/>
    <col customWidth="1" min="6" max="6" width="161.0"/>
    <col customWidth="1" min="7" max="7" width="14.0"/>
    <col customWidth="1" min="8" max="8" width="12.43"/>
    <col customWidth="1" min="9" max="9" width="10.0"/>
    <col customWidth="1" min="10" max="10" width="9.0"/>
    <col customWidth="1" min="11" max="11" width="19.71"/>
    <col customWidth="1" min="12" max="12" width="19.0"/>
    <col customWidth="1" min="13" max="13" width="12.14"/>
    <col customWidth="1" hidden="1" min="14" max="14" width="85.86"/>
    <col customWidth="1" hidden="1" min="15" max="15" width="17.71"/>
    <col hidden="1" min="16" max="17" width="14.43"/>
  </cols>
  <sheetData>
    <row r="1">
      <c r="A1" s="1" t="s">
        <v>0</v>
      </c>
      <c r="B1" s="3" t="s">
        <v>2</v>
      </c>
      <c r="C1" s="2" t="s">
        <v>1</v>
      </c>
      <c r="D1" s="64" t="s">
        <v>3</v>
      </c>
      <c r="E1" s="65" t="s">
        <v>4</v>
      </c>
      <c r="F1" s="3" t="s">
        <v>185</v>
      </c>
      <c r="G1" s="3" t="s">
        <v>6</v>
      </c>
      <c r="H1" s="6" t="s">
        <v>7</v>
      </c>
      <c r="I1" s="37" t="s">
        <v>126</v>
      </c>
      <c r="J1" s="37" t="s">
        <v>127</v>
      </c>
      <c r="K1" s="37"/>
      <c r="L1" s="37"/>
      <c r="M1" s="37" t="s">
        <v>130</v>
      </c>
      <c r="N1" s="43" t="s">
        <v>186</v>
      </c>
      <c r="O1" s="43" t="s">
        <v>187</v>
      </c>
    </row>
    <row r="2">
      <c r="A2" s="7">
        <v>1.0</v>
      </c>
      <c r="B2" s="9">
        <v>1.1321028E7</v>
      </c>
      <c r="C2" s="8" t="s">
        <v>8</v>
      </c>
      <c r="D2" s="66" t="s">
        <v>9</v>
      </c>
      <c r="E2" s="66" t="s">
        <v>10</v>
      </c>
      <c r="F2" s="67" t="s">
        <v>188</v>
      </c>
      <c r="G2" s="24" t="s">
        <v>12</v>
      </c>
      <c r="H2" s="13"/>
      <c r="I2" s="44" t="s">
        <v>41</v>
      </c>
      <c r="J2" s="44" t="s">
        <v>30</v>
      </c>
      <c r="K2" s="68"/>
      <c r="L2" s="68"/>
      <c r="M2" s="44" t="s">
        <v>134</v>
      </c>
    </row>
    <row r="3">
      <c r="A3" s="14"/>
      <c r="B3" s="16">
        <v>1.1321033E7</v>
      </c>
      <c r="C3" s="15" t="s">
        <v>13</v>
      </c>
      <c r="D3" s="14"/>
      <c r="E3" s="14"/>
      <c r="F3" s="17"/>
      <c r="H3" s="14"/>
      <c r="I3" s="14"/>
      <c r="J3" s="14"/>
      <c r="K3" s="14"/>
      <c r="L3" s="14"/>
      <c r="M3" s="14"/>
    </row>
    <row r="4">
      <c r="A4" s="18"/>
      <c r="B4" s="19"/>
      <c r="C4" s="19"/>
      <c r="D4" s="18"/>
      <c r="E4" s="18"/>
      <c r="F4" s="19"/>
      <c r="G4" s="20"/>
      <c r="H4" s="18"/>
      <c r="I4" s="18"/>
      <c r="J4" s="18"/>
      <c r="K4" s="18"/>
      <c r="L4" s="18"/>
      <c r="M4" s="18"/>
    </row>
    <row r="5">
      <c r="A5" s="7">
        <v>2.0</v>
      </c>
      <c r="B5" s="9">
        <v>1.1321016E7</v>
      </c>
      <c r="C5" s="8" t="s">
        <v>14</v>
      </c>
      <c r="D5" s="66" t="s">
        <v>9</v>
      </c>
      <c r="E5" s="66" t="s">
        <v>10</v>
      </c>
      <c r="F5" s="67" t="s">
        <v>189</v>
      </c>
      <c r="G5" s="24" t="s">
        <v>12</v>
      </c>
      <c r="H5" s="7" t="s">
        <v>16</v>
      </c>
      <c r="I5" s="44" t="s">
        <v>36</v>
      </c>
      <c r="J5" s="44" t="s">
        <v>23</v>
      </c>
      <c r="K5" s="69"/>
      <c r="L5" s="69"/>
      <c r="M5" s="44" t="s">
        <v>134</v>
      </c>
      <c r="N5" s="70" t="s">
        <v>190</v>
      </c>
      <c r="O5" s="43" t="s">
        <v>191</v>
      </c>
    </row>
    <row r="6">
      <c r="A6" s="14"/>
      <c r="B6" s="9">
        <v>1.1321072E7</v>
      </c>
      <c r="C6" s="8" t="s">
        <v>17</v>
      </c>
      <c r="D6" s="14"/>
      <c r="E6" s="14"/>
      <c r="F6" s="17"/>
      <c r="H6" s="14"/>
      <c r="I6" s="14"/>
      <c r="J6" s="14"/>
      <c r="K6" s="14"/>
      <c r="L6" s="14"/>
      <c r="M6" s="14"/>
    </row>
    <row r="7">
      <c r="A7" s="18"/>
      <c r="B7" s="9">
        <v>1.1321062E7</v>
      </c>
      <c r="C7" s="8" t="s">
        <v>18</v>
      </c>
      <c r="D7" s="18"/>
      <c r="E7" s="18"/>
      <c r="F7" s="19"/>
      <c r="G7" s="20"/>
      <c r="H7" s="18"/>
      <c r="I7" s="18"/>
      <c r="J7" s="18"/>
      <c r="K7" s="18"/>
      <c r="L7" s="18"/>
      <c r="M7" s="18"/>
      <c r="P7" s="43" t="s">
        <v>192</v>
      </c>
    </row>
    <row r="8">
      <c r="A8" s="7">
        <v>3.0</v>
      </c>
      <c r="B8" s="9">
        <v>1.1321018E7</v>
      </c>
      <c r="C8" s="8" t="s">
        <v>19</v>
      </c>
      <c r="D8" s="71" t="s">
        <v>20</v>
      </c>
      <c r="E8" s="66" t="s">
        <v>21</v>
      </c>
      <c r="F8" s="67" t="s">
        <v>193</v>
      </c>
      <c r="G8" s="24" t="s">
        <v>23</v>
      </c>
      <c r="H8" s="22"/>
      <c r="I8" s="44" t="s">
        <v>41</v>
      </c>
      <c r="J8" s="44" t="s">
        <v>30</v>
      </c>
      <c r="K8" s="69"/>
      <c r="L8" s="69"/>
      <c r="M8" s="44" t="s">
        <v>134</v>
      </c>
    </row>
    <row r="9">
      <c r="A9" s="14"/>
      <c r="B9" s="9">
        <v>1.1321068E7</v>
      </c>
      <c r="C9" s="8" t="s">
        <v>24</v>
      </c>
      <c r="D9" s="14"/>
      <c r="E9" s="14"/>
      <c r="F9" s="17"/>
      <c r="H9" s="14"/>
      <c r="I9" s="14"/>
      <c r="J9" s="14"/>
      <c r="K9" s="14"/>
      <c r="L9" s="14"/>
      <c r="M9" s="14"/>
      <c r="N9" s="43" t="s">
        <v>194</v>
      </c>
    </row>
    <row r="10">
      <c r="A10" s="18"/>
      <c r="B10" s="9">
        <v>1.1321039E7</v>
      </c>
      <c r="C10" s="8" t="s">
        <v>25</v>
      </c>
      <c r="D10" s="18"/>
      <c r="E10" s="18"/>
      <c r="F10" s="19"/>
      <c r="G10" s="20"/>
      <c r="H10" s="18"/>
      <c r="I10" s="18"/>
      <c r="J10" s="18"/>
      <c r="K10" s="18"/>
      <c r="L10" s="18"/>
      <c r="M10" s="18"/>
    </row>
    <row r="11">
      <c r="A11" s="7">
        <v>4.0</v>
      </c>
      <c r="B11" s="9">
        <v>1.132101E7</v>
      </c>
      <c r="C11" s="8" t="s">
        <v>26</v>
      </c>
      <c r="D11" s="72" t="s">
        <v>27</v>
      </c>
      <c r="E11" s="66" t="s">
        <v>28</v>
      </c>
      <c r="F11" s="67" t="s">
        <v>29</v>
      </c>
      <c r="G11" s="24" t="s">
        <v>30</v>
      </c>
      <c r="H11" s="22"/>
      <c r="I11" s="44" t="s">
        <v>41</v>
      </c>
      <c r="J11" s="44" t="s">
        <v>23</v>
      </c>
      <c r="K11" s="69"/>
      <c r="L11" s="69"/>
      <c r="M11" s="44" t="s">
        <v>145</v>
      </c>
    </row>
    <row r="12">
      <c r="A12" s="14"/>
      <c r="B12" s="9">
        <v>1.1321032E7</v>
      </c>
      <c r="C12" s="8" t="s">
        <v>31</v>
      </c>
      <c r="D12" s="14"/>
      <c r="E12" s="14"/>
      <c r="F12" s="17"/>
      <c r="H12" s="14"/>
      <c r="I12" s="14"/>
      <c r="J12" s="14"/>
      <c r="K12" s="14"/>
      <c r="L12" s="14"/>
      <c r="M12" s="14"/>
    </row>
    <row r="13">
      <c r="A13" s="18"/>
      <c r="B13" s="1">
        <v>1.1321059E7</v>
      </c>
      <c r="C13" s="8" t="s">
        <v>32</v>
      </c>
      <c r="D13" s="18"/>
      <c r="E13" s="18"/>
      <c r="F13" s="19"/>
      <c r="G13" s="20"/>
      <c r="H13" s="18"/>
      <c r="I13" s="18"/>
      <c r="J13" s="18"/>
      <c r="K13" s="18"/>
      <c r="L13" s="18"/>
      <c r="M13" s="18"/>
    </row>
    <row r="14">
      <c r="A14" s="7">
        <v>5.0</v>
      </c>
      <c r="B14" s="1">
        <v>1.1321038E7</v>
      </c>
      <c r="C14" s="8" t="s">
        <v>33</v>
      </c>
      <c r="D14" s="66" t="s">
        <v>9</v>
      </c>
      <c r="E14" s="66" t="s">
        <v>34</v>
      </c>
      <c r="F14" s="67" t="s">
        <v>195</v>
      </c>
      <c r="G14" s="24" t="s">
        <v>36</v>
      </c>
      <c r="H14" s="22"/>
      <c r="I14" s="44" t="s">
        <v>30</v>
      </c>
      <c r="J14" s="44" t="s">
        <v>23</v>
      </c>
      <c r="K14" s="69"/>
      <c r="L14" s="69"/>
      <c r="M14" s="44" t="s">
        <v>145</v>
      </c>
    </row>
    <row r="15">
      <c r="A15" s="14"/>
      <c r="B15" s="1">
        <v>1.1321026E7</v>
      </c>
      <c r="C15" s="15" t="s">
        <v>37</v>
      </c>
      <c r="D15" s="14"/>
      <c r="E15" s="14"/>
      <c r="F15" s="17"/>
      <c r="H15" s="14"/>
      <c r="I15" s="14"/>
      <c r="J15" s="14"/>
      <c r="K15" s="14"/>
      <c r="L15" s="14"/>
      <c r="M15" s="14"/>
    </row>
    <row r="16">
      <c r="A16" s="18"/>
      <c r="B16" s="1">
        <v>1.1321071E7</v>
      </c>
      <c r="C16" s="25" t="s">
        <v>38</v>
      </c>
      <c r="D16" s="18"/>
      <c r="E16" s="18"/>
      <c r="F16" s="17"/>
      <c r="G16" s="20"/>
      <c r="H16" s="18"/>
      <c r="I16" s="18"/>
      <c r="J16" s="18"/>
      <c r="K16" s="18"/>
      <c r="L16" s="18"/>
      <c r="M16" s="18"/>
    </row>
    <row r="17">
      <c r="A17" s="26">
        <v>6.0</v>
      </c>
      <c r="B17" s="1">
        <v>1.1321048E7</v>
      </c>
      <c r="C17" s="27" t="s">
        <v>39</v>
      </c>
      <c r="D17" s="66" t="s">
        <v>9</v>
      </c>
      <c r="E17" s="66" t="s">
        <v>28</v>
      </c>
      <c r="F17" s="73" t="s">
        <v>196</v>
      </c>
      <c r="G17" s="29" t="s">
        <v>41</v>
      </c>
      <c r="H17" s="7" t="s">
        <v>16</v>
      </c>
      <c r="I17" s="44" t="s">
        <v>30</v>
      </c>
      <c r="J17" s="44" t="s">
        <v>23</v>
      </c>
      <c r="K17" s="69"/>
      <c r="L17" s="69"/>
      <c r="M17" s="44" t="s">
        <v>145</v>
      </c>
      <c r="N17" s="43" t="s">
        <v>197</v>
      </c>
      <c r="O17" s="43" t="s">
        <v>198</v>
      </c>
    </row>
    <row r="18">
      <c r="A18" s="30"/>
      <c r="B18" s="1">
        <v>1.1321053E7</v>
      </c>
      <c r="C18" s="27" t="s">
        <v>42</v>
      </c>
      <c r="D18" s="14"/>
      <c r="E18" s="14"/>
      <c r="F18" s="14"/>
      <c r="H18" s="14"/>
      <c r="I18" s="14"/>
      <c r="J18" s="14"/>
      <c r="K18" s="14"/>
      <c r="L18" s="14"/>
      <c r="M18" s="14"/>
    </row>
    <row r="19">
      <c r="A19" s="31"/>
      <c r="B19" s="1">
        <v>1.132107E7</v>
      </c>
      <c r="C19" s="27" t="s">
        <v>43</v>
      </c>
      <c r="D19" s="18"/>
      <c r="E19" s="18"/>
      <c r="F19" s="18"/>
      <c r="G19" s="20"/>
      <c r="H19" s="18"/>
      <c r="I19" s="18"/>
      <c r="J19" s="18"/>
      <c r="K19" s="18"/>
      <c r="L19" s="18"/>
      <c r="M19" s="18"/>
      <c r="N19" s="70" t="s">
        <v>199</v>
      </c>
      <c r="O19" s="43" t="s">
        <v>191</v>
      </c>
      <c r="P19" s="43" t="s">
        <v>200</v>
      </c>
    </row>
    <row r="20">
      <c r="A20" s="74">
        <v>7.0</v>
      </c>
      <c r="B20" s="75">
        <v>1.1321044E7</v>
      </c>
      <c r="C20" s="76" t="s">
        <v>44</v>
      </c>
      <c r="D20" s="10" t="s">
        <v>9</v>
      </c>
      <c r="E20" s="10" t="s">
        <v>45</v>
      </c>
      <c r="F20" s="77" t="s">
        <v>201</v>
      </c>
      <c r="G20" s="78" t="s">
        <v>36</v>
      </c>
      <c r="H20" s="79"/>
      <c r="I20" s="80" t="s">
        <v>12</v>
      </c>
      <c r="J20" s="80" t="s">
        <v>41</v>
      </c>
      <c r="K20" s="81"/>
      <c r="L20" s="81"/>
      <c r="M20" s="80" t="s">
        <v>145</v>
      </c>
    </row>
    <row r="21">
      <c r="A21" s="14"/>
      <c r="B21" s="75">
        <v>1.1321005E7</v>
      </c>
      <c r="C21" s="76" t="s">
        <v>47</v>
      </c>
      <c r="D21" s="14"/>
      <c r="E21" s="14"/>
      <c r="F21" s="17"/>
      <c r="H21" s="14"/>
      <c r="I21" s="14"/>
      <c r="J21" s="14"/>
      <c r="K21" s="14"/>
      <c r="L21" s="14"/>
      <c r="M21" s="14"/>
      <c r="O21" s="43" t="s">
        <v>202</v>
      </c>
    </row>
    <row r="22">
      <c r="A22" s="18"/>
      <c r="B22" s="75">
        <v>1.1321047E7</v>
      </c>
      <c r="C22" s="76" t="s">
        <v>48</v>
      </c>
      <c r="D22" s="18"/>
      <c r="E22" s="18"/>
      <c r="F22" s="19"/>
      <c r="G22" s="20"/>
      <c r="H22" s="18"/>
      <c r="I22" s="18"/>
      <c r="J22" s="18"/>
      <c r="K22" s="18"/>
      <c r="L22" s="18"/>
      <c r="M22" s="18"/>
    </row>
    <row r="23">
      <c r="A23" s="74">
        <v>8.0</v>
      </c>
      <c r="B23" s="75">
        <v>1.1321013E7</v>
      </c>
      <c r="C23" s="76" t="s">
        <v>49</v>
      </c>
      <c r="D23" s="21" t="s">
        <v>50</v>
      </c>
      <c r="E23" s="10" t="s">
        <v>51</v>
      </c>
      <c r="F23" s="77" t="s">
        <v>52</v>
      </c>
      <c r="G23" s="78" t="s">
        <v>53</v>
      </c>
      <c r="H23" s="79"/>
      <c r="I23" s="80" t="s">
        <v>174</v>
      </c>
      <c r="J23" s="80" t="s">
        <v>23</v>
      </c>
      <c r="K23" s="81"/>
      <c r="L23" s="81"/>
      <c r="M23" s="80" t="s">
        <v>171</v>
      </c>
    </row>
    <row r="24">
      <c r="A24" s="14"/>
      <c r="B24" s="75">
        <v>1.1321058E7</v>
      </c>
      <c r="C24" s="76" t="s">
        <v>54</v>
      </c>
      <c r="D24" s="14"/>
      <c r="E24" s="14"/>
      <c r="F24" s="17"/>
      <c r="H24" s="14"/>
      <c r="I24" s="14"/>
      <c r="J24" s="14"/>
      <c r="K24" s="14"/>
      <c r="L24" s="14"/>
      <c r="M24" s="14"/>
      <c r="N24" s="43" t="s">
        <v>203</v>
      </c>
    </row>
    <row r="25">
      <c r="A25" s="18"/>
      <c r="B25" s="75">
        <v>1.1321069E7</v>
      </c>
      <c r="C25" s="76" t="s">
        <v>55</v>
      </c>
      <c r="D25" s="18"/>
      <c r="E25" s="18"/>
      <c r="F25" s="19"/>
      <c r="G25" s="20"/>
      <c r="H25" s="18"/>
      <c r="I25" s="18"/>
      <c r="J25" s="18"/>
      <c r="K25" s="18"/>
      <c r="L25" s="18"/>
      <c r="M25" s="18"/>
    </row>
    <row r="26">
      <c r="A26" s="7">
        <v>9.0</v>
      </c>
      <c r="B26" s="9">
        <v>1.132103E7</v>
      </c>
      <c r="C26" s="8" t="s">
        <v>56</v>
      </c>
      <c r="D26" s="71" t="s">
        <v>20</v>
      </c>
      <c r="E26" s="66" t="s">
        <v>21</v>
      </c>
      <c r="F26" s="82" t="s">
        <v>57</v>
      </c>
      <c r="G26" s="29" t="s">
        <v>23</v>
      </c>
      <c r="H26" s="22"/>
      <c r="I26" s="44" t="s">
        <v>12</v>
      </c>
      <c r="J26" s="44" t="s">
        <v>36</v>
      </c>
      <c r="K26" s="69"/>
      <c r="L26" s="69"/>
      <c r="M26" s="44" t="s">
        <v>145</v>
      </c>
      <c r="N26" s="43" t="s">
        <v>204</v>
      </c>
      <c r="O26" s="70" t="s">
        <v>205</v>
      </c>
    </row>
    <row r="27">
      <c r="A27" s="14"/>
      <c r="B27" s="9">
        <v>1.1321036E7</v>
      </c>
      <c r="C27" s="8" t="s">
        <v>58</v>
      </c>
      <c r="D27" s="14"/>
      <c r="E27" s="14"/>
      <c r="F27" s="17"/>
      <c r="H27" s="14"/>
      <c r="I27" s="14"/>
      <c r="J27" s="14"/>
      <c r="K27" s="14"/>
      <c r="L27" s="14"/>
      <c r="M27" s="14"/>
    </row>
    <row r="28">
      <c r="A28" s="18"/>
      <c r="B28" s="9">
        <v>1.1321041E7</v>
      </c>
      <c r="C28" s="8" t="s">
        <v>59</v>
      </c>
      <c r="D28" s="18"/>
      <c r="E28" s="18"/>
      <c r="F28" s="19"/>
      <c r="G28" s="20"/>
      <c r="H28" s="18"/>
      <c r="I28" s="18"/>
      <c r="J28" s="18"/>
      <c r="K28" s="18"/>
      <c r="L28" s="18"/>
      <c r="M28" s="18"/>
    </row>
    <row r="29">
      <c r="A29" s="7">
        <v>10.0</v>
      </c>
      <c r="B29" s="9">
        <v>1.1321051E7</v>
      </c>
      <c r="C29" s="8" t="s">
        <v>60</v>
      </c>
      <c r="D29" s="66" t="s">
        <v>9</v>
      </c>
      <c r="E29" s="66" t="s">
        <v>10</v>
      </c>
      <c r="F29" s="67" t="s">
        <v>206</v>
      </c>
      <c r="G29" s="24" t="s">
        <v>12</v>
      </c>
      <c r="H29" s="22"/>
      <c r="I29" s="44" t="s">
        <v>41</v>
      </c>
      <c r="J29" s="44" t="s">
        <v>23</v>
      </c>
      <c r="K29" s="69"/>
      <c r="L29" s="69"/>
      <c r="M29" s="44" t="s">
        <v>145</v>
      </c>
    </row>
    <row r="30">
      <c r="A30" s="14"/>
      <c r="B30" s="9">
        <v>1.1321007E7</v>
      </c>
      <c r="C30" s="8" t="s">
        <v>62</v>
      </c>
      <c r="D30" s="14"/>
      <c r="E30" s="14"/>
      <c r="F30" s="17"/>
      <c r="H30" s="14"/>
      <c r="I30" s="14"/>
      <c r="J30" s="14"/>
      <c r="K30" s="14"/>
      <c r="L30" s="14"/>
      <c r="M30" s="14"/>
    </row>
    <row r="31">
      <c r="A31" s="18"/>
      <c r="B31" s="9">
        <v>1.1321021E7</v>
      </c>
      <c r="C31" s="8" t="s">
        <v>63</v>
      </c>
      <c r="D31" s="18"/>
      <c r="E31" s="18"/>
      <c r="F31" s="19"/>
      <c r="G31" s="20"/>
      <c r="H31" s="18"/>
      <c r="I31" s="18"/>
      <c r="J31" s="18"/>
      <c r="K31" s="18"/>
      <c r="L31" s="18"/>
      <c r="M31" s="18"/>
    </row>
    <row r="32">
      <c r="A32" s="7">
        <v>11.0</v>
      </c>
      <c r="B32" s="9">
        <v>1.1321015E7</v>
      </c>
      <c r="C32" s="8" t="s">
        <v>64</v>
      </c>
      <c r="D32" s="66" t="s">
        <v>9</v>
      </c>
      <c r="E32" s="66" t="s">
        <v>10</v>
      </c>
      <c r="F32" s="67" t="s">
        <v>156</v>
      </c>
      <c r="G32" s="24" t="s">
        <v>41</v>
      </c>
      <c r="H32" s="22"/>
      <c r="I32" s="44" t="s">
        <v>30</v>
      </c>
      <c r="J32" s="44" t="s">
        <v>12</v>
      </c>
      <c r="K32" s="69"/>
      <c r="L32" s="69"/>
      <c r="M32" s="44" t="s">
        <v>157</v>
      </c>
      <c r="S32" s="43" t="s">
        <v>207</v>
      </c>
    </row>
    <row r="33">
      <c r="A33" s="14"/>
      <c r="B33" s="9">
        <v>1.1321025E7</v>
      </c>
      <c r="C33" s="8" t="s">
        <v>66</v>
      </c>
      <c r="D33" s="14"/>
      <c r="E33" s="14"/>
      <c r="F33" s="17"/>
      <c r="H33" s="14"/>
      <c r="I33" s="14"/>
      <c r="J33" s="14"/>
      <c r="K33" s="14"/>
      <c r="L33" s="14"/>
      <c r="M33" s="14"/>
    </row>
    <row r="34">
      <c r="A34" s="18"/>
      <c r="B34" s="9">
        <v>1.132106E7</v>
      </c>
      <c r="C34" s="8" t="s">
        <v>67</v>
      </c>
      <c r="D34" s="18"/>
      <c r="E34" s="18"/>
      <c r="F34" s="19"/>
      <c r="G34" s="20"/>
      <c r="H34" s="18"/>
      <c r="I34" s="18"/>
      <c r="J34" s="18"/>
      <c r="K34" s="18"/>
      <c r="L34" s="18"/>
      <c r="M34" s="18"/>
    </row>
    <row r="35">
      <c r="A35" s="7">
        <v>12.0</v>
      </c>
      <c r="B35" s="9">
        <v>1.1321034E7</v>
      </c>
      <c r="C35" s="8" t="s">
        <v>68</v>
      </c>
      <c r="D35" s="66" t="s">
        <v>9</v>
      </c>
      <c r="E35" s="66" t="s">
        <v>34</v>
      </c>
      <c r="F35" s="67" t="s">
        <v>208</v>
      </c>
      <c r="G35" s="24" t="s">
        <v>36</v>
      </c>
      <c r="H35" s="22"/>
      <c r="I35" s="44" t="s">
        <v>30</v>
      </c>
      <c r="J35" s="44" t="s">
        <v>12</v>
      </c>
      <c r="K35" s="69"/>
      <c r="L35" s="69"/>
      <c r="M35" s="44" t="s">
        <v>134</v>
      </c>
    </row>
    <row r="36">
      <c r="A36" s="14"/>
      <c r="B36" s="9">
        <v>1.1321055E7</v>
      </c>
      <c r="C36" s="8" t="s">
        <v>70</v>
      </c>
      <c r="D36" s="14"/>
      <c r="E36" s="14"/>
      <c r="F36" s="17"/>
      <c r="H36" s="14"/>
      <c r="I36" s="14"/>
      <c r="J36" s="14"/>
      <c r="K36" s="14"/>
      <c r="L36" s="14"/>
      <c r="M36" s="14"/>
    </row>
    <row r="37">
      <c r="A37" s="18"/>
      <c r="B37" s="9">
        <v>1.1321054E7</v>
      </c>
      <c r="C37" s="8" t="s">
        <v>71</v>
      </c>
      <c r="D37" s="18"/>
      <c r="E37" s="18"/>
      <c r="F37" s="19"/>
      <c r="G37" s="20"/>
      <c r="H37" s="18"/>
      <c r="I37" s="18"/>
      <c r="J37" s="18"/>
      <c r="K37" s="18"/>
      <c r="L37" s="18"/>
      <c r="M37" s="18"/>
    </row>
    <row r="38">
      <c r="A38" s="74">
        <v>13.0</v>
      </c>
      <c r="B38" s="75">
        <v>1.1321045E7</v>
      </c>
      <c r="C38" s="76" t="s">
        <v>72</v>
      </c>
      <c r="D38" s="23" t="s">
        <v>27</v>
      </c>
      <c r="E38" s="10" t="s">
        <v>10</v>
      </c>
      <c r="F38" s="77" t="s">
        <v>209</v>
      </c>
      <c r="G38" s="78" t="s">
        <v>30</v>
      </c>
      <c r="H38" s="79"/>
      <c r="I38" s="80" t="s">
        <v>36</v>
      </c>
      <c r="J38" s="80" t="s">
        <v>41</v>
      </c>
      <c r="K38" s="81"/>
      <c r="L38" s="81"/>
      <c r="M38" s="80" t="s">
        <v>145</v>
      </c>
    </row>
    <row r="39">
      <c r="A39" s="14"/>
      <c r="B39" s="75">
        <v>1.1321056E7</v>
      </c>
      <c r="C39" s="76" t="s">
        <v>74</v>
      </c>
      <c r="D39" s="14"/>
      <c r="E39" s="14"/>
      <c r="F39" s="17"/>
      <c r="H39" s="14"/>
      <c r="I39" s="14"/>
      <c r="J39" s="14"/>
      <c r="K39" s="14"/>
      <c r="L39" s="14"/>
      <c r="M39" s="14"/>
    </row>
    <row r="40">
      <c r="A40" s="18"/>
      <c r="B40" s="75">
        <v>1.1321057E7</v>
      </c>
      <c r="C40" s="76" t="s">
        <v>75</v>
      </c>
      <c r="D40" s="18"/>
      <c r="E40" s="18"/>
      <c r="F40" s="19"/>
      <c r="G40" s="20"/>
      <c r="H40" s="18"/>
      <c r="I40" s="18"/>
      <c r="J40" s="18"/>
      <c r="K40" s="18"/>
      <c r="L40" s="18"/>
      <c r="M40" s="18"/>
    </row>
    <row r="41">
      <c r="A41" s="7">
        <v>14.0</v>
      </c>
      <c r="B41" s="9">
        <v>1.1321064E7</v>
      </c>
      <c r="C41" s="8" t="s">
        <v>76</v>
      </c>
      <c r="D41" s="72" t="s">
        <v>27</v>
      </c>
      <c r="E41" s="72" t="s">
        <v>77</v>
      </c>
      <c r="F41" s="67" t="s">
        <v>210</v>
      </c>
      <c r="G41" s="33" t="s">
        <v>30</v>
      </c>
      <c r="H41" s="7" t="s">
        <v>79</v>
      </c>
      <c r="I41" s="44" t="s">
        <v>23</v>
      </c>
      <c r="J41" s="44" t="s">
        <v>12</v>
      </c>
      <c r="K41" s="69"/>
      <c r="L41" s="69"/>
      <c r="M41" s="44" t="s">
        <v>134</v>
      </c>
      <c r="N41" s="83" t="s">
        <v>211</v>
      </c>
    </row>
    <row r="42">
      <c r="A42" s="14"/>
      <c r="B42" s="9">
        <v>1.1321052E7</v>
      </c>
      <c r="C42" s="8" t="s">
        <v>80</v>
      </c>
      <c r="D42" s="14"/>
      <c r="E42" s="14"/>
      <c r="F42" s="17"/>
      <c r="H42" s="14"/>
      <c r="I42" s="14"/>
      <c r="J42" s="14"/>
      <c r="K42" s="14"/>
      <c r="L42" s="14"/>
      <c r="M42" s="14"/>
      <c r="O42" s="43" t="s">
        <v>191</v>
      </c>
    </row>
    <row r="43">
      <c r="A43" s="18"/>
      <c r="B43" s="9">
        <v>1.1321014E7</v>
      </c>
      <c r="C43" s="8" t="s">
        <v>81</v>
      </c>
      <c r="D43" s="18"/>
      <c r="E43" s="18"/>
      <c r="F43" s="19"/>
      <c r="G43" s="20"/>
      <c r="H43" s="18"/>
      <c r="I43" s="18"/>
      <c r="J43" s="18"/>
      <c r="K43" s="18"/>
      <c r="L43" s="18"/>
      <c r="M43" s="18"/>
    </row>
    <row r="44">
      <c r="A44" s="7">
        <v>15.0</v>
      </c>
      <c r="B44" s="9">
        <v>1.1321043E7</v>
      </c>
      <c r="C44" s="8" t="s">
        <v>82</v>
      </c>
      <c r="D44" s="66" t="s">
        <v>9</v>
      </c>
      <c r="E44" s="66" t="s">
        <v>45</v>
      </c>
      <c r="F44" s="67" t="s">
        <v>212</v>
      </c>
      <c r="G44" s="24" t="s">
        <v>36</v>
      </c>
      <c r="H44" s="7" t="s">
        <v>79</v>
      </c>
      <c r="I44" s="44" t="s">
        <v>12</v>
      </c>
      <c r="J44" s="44" t="s">
        <v>30</v>
      </c>
      <c r="K44" s="69"/>
      <c r="L44" s="69"/>
      <c r="M44" s="44" t="s">
        <v>145</v>
      </c>
    </row>
    <row r="45">
      <c r="A45" s="14"/>
      <c r="B45" s="9">
        <v>1.1321073E7</v>
      </c>
      <c r="C45" s="8" t="s">
        <v>84</v>
      </c>
      <c r="D45" s="14"/>
      <c r="E45" s="14"/>
      <c r="F45" s="17"/>
      <c r="H45" s="14"/>
      <c r="I45" s="14"/>
      <c r="J45" s="14"/>
      <c r="K45" s="14"/>
      <c r="L45" s="14"/>
      <c r="M45" s="14"/>
    </row>
    <row r="46">
      <c r="A46" s="18"/>
      <c r="B46" s="9">
        <v>1.1321023E7</v>
      </c>
      <c r="C46" s="8" t="s">
        <v>85</v>
      </c>
      <c r="D46" s="18"/>
      <c r="E46" s="18"/>
      <c r="F46" s="19"/>
      <c r="G46" s="20"/>
      <c r="H46" s="18"/>
      <c r="I46" s="18"/>
      <c r="J46" s="18"/>
      <c r="K46" s="18"/>
      <c r="L46" s="18"/>
      <c r="M46" s="18"/>
    </row>
    <row r="47">
      <c r="A47" s="74">
        <v>16.0</v>
      </c>
      <c r="B47" s="75">
        <v>1.1321008E7</v>
      </c>
      <c r="C47" s="76" t="s">
        <v>86</v>
      </c>
      <c r="D47" s="23" t="s">
        <v>27</v>
      </c>
      <c r="E47" s="10" t="s">
        <v>10</v>
      </c>
      <c r="F47" s="77" t="s">
        <v>165</v>
      </c>
      <c r="G47" s="78" t="s">
        <v>30</v>
      </c>
      <c r="H47" s="79"/>
      <c r="I47" s="80" t="s">
        <v>36</v>
      </c>
      <c r="J47" s="80" t="s">
        <v>12</v>
      </c>
      <c r="K47" s="81"/>
      <c r="L47" s="81"/>
      <c r="M47" s="80" t="s">
        <v>134</v>
      </c>
    </row>
    <row r="48">
      <c r="A48" s="14"/>
      <c r="B48" s="75">
        <v>1.1321019E7</v>
      </c>
      <c r="C48" s="76" t="s">
        <v>88</v>
      </c>
      <c r="D48" s="14"/>
      <c r="E48" s="14"/>
      <c r="F48" s="17"/>
      <c r="H48" s="14"/>
      <c r="I48" s="14"/>
      <c r="J48" s="14"/>
      <c r="K48" s="14"/>
      <c r="L48" s="14"/>
      <c r="M48" s="14"/>
    </row>
    <row r="49">
      <c r="A49" s="18"/>
      <c r="B49" s="75">
        <v>1.1321035E7</v>
      </c>
      <c r="C49" s="76" t="s">
        <v>89</v>
      </c>
      <c r="D49" s="18"/>
      <c r="E49" s="18"/>
      <c r="F49" s="19"/>
      <c r="G49" s="20"/>
      <c r="H49" s="18"/>
      <c r="I49" s="18"/>
      <c r="J49" s="18"/>
      <c r="K49" s="18"/>
      <c r="L49" s="18"/>
      <c r="M49" s="18"/>
      <c r="N49" s="43" t="s">
        <v>213</v>
      </c>
    </row>
    <row r="50">
      <c r="A50" s="7">
        <v>17.0</v>
      </c>
      <c r="B50" s="9">
        <v>1.1321037E7</v>
      </c>
      <c r="C50" s="8" t="s">
        <v>90</v>
      </c>
      <c r="D50" s="66" t="s">
        <v>9</v>
      </c>
      <c r="E50" s="66" t="s">
        <v>10</v>
      </c>
      <c r="F50" s="67" t="s">
        <v>214</v>
      </c>
      <c r="G50" s="24" t="s">
        <v>12</v>
      </c>
      <c r="H50" s="22"/>
      <c r="I50" s="44" t="s">
        <v>30</v>
      </c>
      <c r="J50" s="44" t="s">
        <v>41</v>
      </c>
      <c r="K50" s="69"/>
      <c r="L50" s="69"/>
      <c r="M50" s="44" t="s">
        <v>145</v>
      </c>
    </row>
    <row r="51">
      <c r="A51" s="14"/>
      <c r="B51" s="9">
        <v>1.1321024E7</v>
      </c>
      <c r="C51" s="8" t="s">
        <v>92</v>
      </c>
      <c r="D51" s="14"/>
      <c r="E51" s="14"/>
      <c r="F51" s="17"/>
      <c r="H51" s="14"/>
      <c r="I51" s="14"/>
      <c r="J51" s="14"/>
      <c r="K51" s="14"/>
      <c r="L51" s="14"/>
      <c r="M51" s="14"/>
    </row>
    <row r="52">
      <c r="A52" s="18"/>
      <c r="B52" s="9">
        <v>1.1321066E7</v>
      </c>
      <c r="C52" s="8" t="s">
        <v>93</v>
      </c>
      <c r="D52" s="18"/>
      <c r="E52" s="18"/>
      <c r="F52" s="19"/>
      <c r="G52" s="20"/>
      <c r="H52" s="18"/>
      <c r="I52" s="18"/>
      <c r="J52" s="18"/>
      <c r="K52" s="18"/>
      <c r="L52" s="18"/>
      <c r="M52" s="18"/>
    </row>
    <row r="53">
      <c r="A53" s="7">
        <v>18.0</v>
      </c>
      <c r="B53" s="9">
        <v>1.1321002E7</v>
      </c>
      <c r="C53" s="8" t="s">
        <v>94</v>
      </c>
      <c r="D53" s="66" t="s">
        <v>95</v>
      </c>
      <c r="E53" s="66" t="s">
        <v>96</v>
      </c>
      <c r="F53" s="67" t="s">
        <v>215</v>
      </c>
      <c r="G53" s="24" t="s">
        <v>23</v>
      </c>
      <c r="H53" s="22"/>
      <c r="I53" s="44" t="s">
        <v>12</v>
      </c>
      <c r="J53" s="44" t="s">
        <v>36</v>
      </c>
      <c r="K53" s="69"/>
      <c r="L53" s="69"/>
      <c r="M53" s="44" t="s">
        <v>145</v>
      </c>
    </row>
    <row r="54">
      <c r="A54" s="14"/>
      <c r="B54" s="9">
        <v>1.1321017E7</v>
      </c>
      <c r="C54" s="8" t="s">
        <v>98</v>
      </c>
      <c r="D54" s="14"/>
      <c r="E54" s="14"/>
      <c r="F54" s="17"/>
      <c r="H54" s="14"/>
      <c r="I54" s="14"/>
      <c r="J54" s="14"/>
      <c r="K54" s="14"/>
      <c r="L54" s="14"/>
      <c r="M54" s="14"/>
    </row>
    <row r="55">
      <c r="A55" s="18"/>
      <c r="B55" s="9">
        <v>1.1321029E7</v>
      </c>
      <c r="C55" s="8" t="s">
        <v>99</v>
      </c>
      <c r="D55" s="18"/>
      <c r="E55" s="18"/>
      <c r="F55" s="19"/>
      <c r="G55" s="20"/>
      <c r="H55" s="18"/>
      <c r="I55" s="18"/>
      <c r="J55" s="18"/>
      <c r="K55" s="18"/>
      <c r="L55" s="18"/>
      <c r="M55" s="18"/>
    </row>
    <row r="56">
      <c r="A56" s="74">
        <v>19.0</v>
      </c>
      <c r="B56" s="75">
        <v>1.1321009E7</v>
      </c>
      <c r="C56" s="76" t="s">
        <v>100</v>
      </c>
      <c r="D56" s="21" t="s">
        <v>20</v>
      </c>
      <c r="E56" s="10" t="s">
        <v>101</v>
      </c>
      <c r="F56" s="77" t="s">
        <v>216</v>
      </c>
      <c r="G56" s="78" t="s">
        <v>23</v>
      </c>
      <c r="H56" s="74" t="s">
        <v>16</v>
      </c>
      <c r="I56" s="80" t="s">
        <v>41</v>
      </c>
      <c r="J56" s="80" t="s">
        <v>36</v>
      </c>
      <c r="K56" s="81"/>
      <c r="L56" s="81"/>
      <c r="M56" s="80" t="s">
        <v>171</v>
      </c>
      <c r="N56" s="43" t="s">
        <v>217</v>
      </c>
    </row>
    <row r="57">
      <c r="A57" s="14"/>
      <c r="B57" s="75">
        <v>1.1321011E7</v>
      </c>
      <c r="C57" s="76" t="s">
        <v>103</v>
      </c>
      <c r="D57" s="14"/>
      <c r="E57" s="14"/>
      <c r="F57" s="17"/>
      <c r="H57" s="14"/>
      <c r="I57" s="14"/>
      <c r="J57" s="14"/>
      <c r="K57" s="14"/>
      <c r="L57" s="14"/>
      <c r="M57" s="14"/>
      <c r="N57" s="43" t="s">
        <v>218</v>
      </c>
    </row>
    <row r="58">
      <c r="A58" s="18"/>
      <c r="B58" s="75">
        <v>1.1321022E7</v>
      </c>
      <c r="C58" s="76" t="s">
        <v>104</v>
      </c>
      <c r="D58" s="18"/>
      <c r="E58" s="18"/>
      <c r="F58" s="19"/>
      <c r="G58" s="20"/>
      <c r="H58" s="18"/>
      <c r="I58" s="18"/>
      <c r="J58" s="18"/>
      <c r="K58" s="18"/>
      <c r="L58" s="18"/>
      <c r="M58" s="18"/>
    </row>
    <row r="59">
      <c r="A59" s="7">
        <v>20.0</v>
      </c>
      <c r="B59" s="9">
        <v>1.1321001E7</v>
      </c>
      <c r="C59" s="8" t="s">
        <v>105</v>
      </c>
      <c r="D59" s="71" t="s">
        <v>50</v>
      </c>
      <c r="E59" s="66" t="s">
        <v>51</v>
      </c>
      <c r="F59" s="67" t="s">
        <v>106</v>
      </c>
      <c r="G59" s="24" t="s">
        <v>53</v>
      </c>
      <c r="H59" s="22"/>
      <c r="I59" s="44" t="s">
        <v>173</v>
      </c>
      <c r="J59" s="44" t="s">
        <v>41</v>
      </c>
      <c r="K59" s="69"/>
      <c r="L59" s="69"/>
      <c r="M59" s="44" t="s">
        <v>145</v>
      </c>
      <c r="N59" s="43" t="s">
        <v>219</v>
      </c>
    </row>
    <row r="60">
      <c r="A60" s="14"/>
      <c r="B60" s="9">
        <v>1.1321031E7</v>
      </c>
      <c r="C60" s="8" t="s">
        <v>107</v>
      </c>
      <c r="D60" s="14"/>
      <c r="E60" s="14"/>
      <c r="F60" s="17"/>
      <c r="H60" s="14"/>
      <c r="I60" s="14"/>
      <c r="J60" s="14"/>
      <c r="K60" s="14"/>
      <c r="L60" s="14"/>
      <c r="M60" s="14"/>
      <c r="N60" s="84"/>
    </row>
    <row r="61">
      <c r="A61" s="18"/>
      <c r="B61" s="9">
        <v>1.1321063E7</v>
      </c>
      <c r="C61" s="8" t="s">
        <v>108</v>
      </c>
      <c r="D61" s="18"/>
      <c r="E61" s="18"/>
      <c r="F61" s="19"/>
      <c r="G61" s="20"/>
      <c r="H61" s="18"/>
      <c r="I61" s="18"/>
      <c r="J61" s="18"/>
      <c r="K61" s="18"/>
      <c r="L61" s="18"/>
      <c r="M61" s="18"/>
    </row>
    <row r="62">
      <c r="A62" s="74">
        <v>21.0</v>
      </c>
      <c r="B62" s="75">
        <v>1.1321012E7</v>
      </c>
      <c r="C62" s="76" t="s">
        <v>109</v>
      </c>
      <c r="D62" s="10" t="s">
        <v>9</v>
      </c>
      <c r="E62" s="10" t="s">
        <v>10</v>
      </c>
      <c r="F62" s="77" t="s">
        <v>220</v>
      </c>
      <c r="G62" s="85" t="s">
        <v>41</v>
      </c>
      <c r="H62" s="79"/>
      <c r="I62" s="80" t="s">
        <v>36</v>
      </c>
      <c r="J62" s="80" t="s">
        <v>12</v>
      </c>
      <c r="K62" s="81"/>
      <c r="L62" s="81"/>
      <c r="M62" s="80" t="s">
        <v>145</v>
      </c>
      <c r="N62" s="43" t="s">
        <v>221</v>
      </c>
    </row>
    <row r="63">
      <c r="A63" s="14"/>
      <c r="B63" s="75">
        <v>1.1321061E7</v>
      </c>
      <c r="C63" s="76" t="s">
        <v>111</v>
      </c>
      <c r="D63" s="14"/>
      <c r="E63" s="14"/>
      <c r="F63" s="17"/>
      <c r="H63" s="14"/>
      <c r="I63" s="14"/>
      <c r="J63" s="14"/>
      <c r="K63" s="14"/>
      <c r="L63" s="14"/>
      <c r="M63" s="14"/>
    </row>
    <row r="64">
      <c r="A64" s="18"/>
      <c r="B64" s="75">
        <v>1.1321067E7</v>
      </c>
      <c r="C64" s="76" t="s">
        <v>112</v>
      </c>
      <c r="D64" s="18"/>
      <c r="E64" s="18"/>
      <c r="F64" s="19"/>
      <c r="G64" s="20"/>
      <c r="H64" s="18"/>
      <c r="I64" s="18"/>
      <c r="J64" s="18"/>
      <c r="K64" s="18"/>
      <c r="L64" s="18"/>
      <c r="M64" s="18"/>
      <c r="S64" s="43" t="s">
        <v>222</v>
      </c>
    </row>
    <row r="65">
      <c r="A65" s="7">
        <v>22.0</v>
      </c>
      <c r="B65" s="9">
        <v>1.1321003E7</v>
      </c>
      <c r="C65" s="8" t="s">
        <v>113</v>
      </c>
      <c r="D65" s="72" t="s">
        <v>27</v>
      </c>
      <c r="E65" s="35" t="s">
        <v>114</v>
      </c>
      <c r="F65" s="67" t="s">
        <v>179</v>
      </c>
      <c r="G65" s="24" t="s">
        <v>30</v>
      </c>
      <c r="H65" s="22"/>
      <c r="I65" s="44" t="s">
        <v>23</v>
      </c>
      <c r="J65" s="44" t="s">
        <v>36</v>
      </c>
      <c r="K65" s="69"/>
      <c r="L65" s="69"/>
      <c r="M65" s="44" t="s">
        <v>134</v>
      </c>
    </row>
    <row r="66">
      <c r="A66" s="14"/>
      <c r="B66" s="9">
        <v>1.1321006E7</v>
      </c>
      <c r="C66" s="8" t="s">
        <v>116</v>
      </c>
      <c r="D66" s="14"/>
      <c r="E66" s="17"/>
      <c r="F66" s="17"/>
      <c r="H66" s="14"/>
      <c r="I66" s="14"/>
      <c r="J66" s="14"/>
      <c r="K66" s="14"/>
      <c r="L66" s="14"/>
      <c r="M66" s="14"/>
    </row>
    <row r="67">
      <c r="A67" s="18"/>
      <c r="B67" s="9">
        <v>1.132102E7</v>
      </c>
      <c r="C67" s="8" t="s">
        <v>117</v>
      </c>
      <c r="D67" s="18"/>
      <c r="E67" s="19"/>
      <c r="F67" s="19"/>
      <c r="G67" s="20"/>
      <c r="H67" s="18"/>
      <c r="I67" s="18"/>
      <c r="J67" s="18"/>
      <c r="K67" s="18"/>
      <c r="L67" s="18"/>
      <c r="M67" s="18"/>
    </row>
    <row r="68">
      <c r="A68" s="7">
        <v>23.0</v>
      </c>
      <c r="B68" s="9">
        <v>1.1321042E7</v>
      </c>
      <c r="C68" s="8" t="s">
        <v>118</v>
      </c>
      <c r="D68" s="66" t="s">
        <v>9</v>
      </c>
      <c r="E68" s="66" t="s">
        <v>10</v>
      </c>
      <c r="F68" s="67" t="s">
        <v>223</v>
      </c>
      <c r="G68" s="24" t="s">
        <v>41</v>
      </c>
      <c r="H68" s="22"/>
      <c r="I68" s="44" t="s">
        <v>30</v>
      </c>
      <c r="J68" s="44" t="s">
        <v>23</v>
      </c>
      <c r="K68" s="69"/>
      <c r="L68" s="69"/>
      <c r="M68" s="44" t="s">
        <v>145</v>
      </c>
      <c r="N68" s="70" t="s">
        <v>224</v>
      </c>
      <c r="S68" s="43" t="s">
        <v>207</v>
      </c>
    </row>
    <row r="69">
      <c r="A69" s="14"/>
      <c r="B69" s="9">
        <v>1.1321049E7</v>
      </c>
      <c r="C69" s="8" t="s">
        <v>120</v>
      </c>
      <c r="D69" s="14"/>
      <c r="E69" s="14"/>
      <c r="F69" s="17"/>
      <c r="H69" s="14"/>
      <c r="I69" s="14"/>
      <c r="J69" s="14"/>
      <c r="K69" s="14"/>
      <c r="L69" s="14"/>
      <c r="M69" s="14"/>
      <c r="O69" s="43" t="s">
        <v>191</v>
      </c>
      <c r="P69" s="43" t="s">
        <v>225</v>
      </c>
      <c r="T69" s="43" t="s">
        <v>226</v>
      </c>
    </row>
    <row r="70">
      <c r="A70" s="18"/>
      <c r="B70" s="9">
        <v>1.1321027E7</v>
      </c>
      <c r="C70" s="8" t="s">
        <v>121</v>
      </c>
      <c r="D70" s="18"/>
      <c r="E70" s="18"/>
      <c r="F70" s="19"/>
      <c r="G70" s="20"/>
      <c r="H70" s="18"/>
      <c r="I70" s="18"/>
      <c r="J70" s="18"/>
      <c r="K70" s="18"/>
      <c r="L70" s="18"/>
      <c r="M70" s="18"/>
      <c r="P70" s="43" t="s">
        <v>227</v>
      </c>
    </row>
    <row r="71">
      <c r="A71" s="7">
        <v>24.0</v>
      </c>
      <c r="B71" s="9">
        <v>1.1321046E7</v>
      </c>
      <c r="C71" s="8" t="s">
        <v>122</v>
      </c>
      <c r="D71" s="71" t="s">
        <v>20</v>
      </c>
      <c r="E71" s="66" t="s">
        <v>21</v>
      </c>
      <c r="F71" s="67" t="s">
        <v>228</v>
      </c>
      <c r="G71" s="24" t="s">
        <v>23</v>
      </c>
      <c r="H71" s="22"/>
      <c r="I71" s="44" t="s">
        <v>36</v>
      </c>
      <c r="J71" s="44" t="s">
        <v>41</v>
      </c>
      <c r="K71" s="69"/>
      <c r="L71" s="69"/>
      <c r="M71" s="44" t="s">
        <v>145</v>
      </c>
    </row>
    <row r="72">
      <c r="A72" s="14"/>
      <c r="B72" s="9">
        <v>1.1321051E7</v>
      </c>
      <c r="C72" s="8" t="s">
        <v>124</v>
      </c>
      <c r="D72" s="14"/>
      <c r="E72" s="14"/>
      <c r="F72" s="17"/>
      <c r="H72" s="14"/>
      <c r="I72" s="14"/>
      <c r="J72" s="14"/>
      <c r="K72" s="14"/>
      <c r="L72" s="14"/>
      <c r="M72" s="14"/>
    </row>
    <row r="73">
      <c r="A73" s="18"/>
      <c r="B73" s="9">
        <v>1.1321065E7</v>
      </c>
      <c r="C73" s="8" t="s">
        <v>125</v>
      </c>
      <c r="D73" s="18"/>
      <c r="E73" s="18"/>
      <c r="F73" s="19"/>
      <c r="G73" s="20"/>
      <c r="H73" s="18"/>
      <c r="I73" s="18"/>
      <c r="J73" s="18"/>
      <c r="K73" s="18"/>
      <c r="L73" s="18"/>
      <c r="M73" s="18"/>
      <c r="N73" s="43" t="s">
        <v>229</v>
      </c>
      <c r="P73" s="43" t="s">
        <v>230</v>
      </c>
    </row>
    <row r="74">
      <c r="A74" s="36"/>
      <c r="B74" s="36"/>
      <c r="C74" s="36"/>
      <c r="D74" s="36"/>
      <c r="E74" s="36"/>
      <c r="F74" s="36"/>
      <c r="G74" s="36"/>
      <c r="H74" s="36"/>
    </row>
    <row r="76">
      <c r="C76" s="43">
        <v>12.0</v>
      </c>
      <c r="F76" s="43" t="s">
        <v>69</v>
      </c>
      <c r="G76" s="43" t="s">
        <v>183</v>
      </c>
      <c r="H76" s="43" t="s">
        <v>184</v>
      </c>
      <c r="J76" s="43" t="s">
        <v>126</v>
      </c>
    </row>
    <row r="77">
      <c r="F77" s="43" t="s">
        <v>231</v>
      </c>
      <c r="G77" s="43" t="s">
        <v>30</v>
      </c>
      <c r="H77" s="63">
        <f t="shared" ref="H77:H82" si="1">COUNTIF($G$2:$G$73, G77)</f>
        <v>5</v>
      </c>
      <c r="J77" s="43" t="s">
        <v>30</v>
      </c>
      <c r="M77" s="63">
        <f t="shared" ref="M77:M83" si="2">COUNTIF($J$2:$J$73, L77)</f>
        <v>0</v>
      </c>
    </row>
    <row r="78">
      <c r="C78" s="43">
        <v>24.0</v>
      </c>
      <c r="F78" s="43" t="s">
        <v>123</v>
      </c>
      <c r="G78" s="43" t="s">
        <v>23</v>
      </c>
      <c r="H78" s="63">
        <f t="shared" si="1"/>
        <v>5</v>
      </c>
      <c r="J78" s="43" t="s">
        <v>23</v>
      </c>
      <c r="M78" s="63">
        <f t="shared" si="2"/>
        <v>0</v>
      </c>
    </row>
    <row r="79">
      <c r="F79" s="43" t="s">
        <v>232</v>
      </c>
      <c r="G79" s="43" t="s">
        <v>36</v>
      </c>
      <c r="H79" s="63">
        <f t="shared" si="1"/>
        <v>4</v>
      </c>
      <c r="J79" s="43" t="s">
        <v>36</v>
      </c>
      <c r="M79" s="63">
        <f t="shared" si="2"/>
        <v>0</v>
      </c>
    </row>
    <row r="80">
      <c r="F80" s="43" t="s">
        <v>228</v>
      </c>
      <c r="G80" s="43" t="s">
        <v>41</v>
      </c>
      <c r="H80" s="63">
        <f t="shared" si="1"/>
        <v>4</v>
      </c>
      <c r="J80" s="43" t="s">
        <v>41</v>
      </c>
      <c r="M80" s="63">
        <f t="shared" si="2"/>
        <v>0</v>
      </c>
    </row>
    <row r="81">
      <c r="C81" s="43">
        <v>21.0</v>
      </c>
      <c r="F81" s="43" t="s">
        <v>233</v>
      </c>
      <c r="G81" s="43" t="s">
        <v>12</v>
      </c>
      <c r="H81" s="63">
        <f t="shared" si="1"/>
        <v>4</v>
      </c>
      <c r="J81" s="43" t="s">
        <v>12</v>
      </c>
      <c r="M81" s="63">
        <f t="shared" si="2"/>
        <v>0</v>
      </c>
    </row>
    <row r="82">
      <c r="F82" s="86" t="s">
        <v>220</v>
      </c>
      <c r="G82" s="43" t="s">
        <v>53</v>
      </c>
      <c r="H82" s="63">
        <f t="shared" si="1"/>
        <v>2</v>
      </c>
      <c r="J82" s="43" t="s">
        <v>53</v>
      </c>
      <c r="M82" s="63">
        <f t="shared" si="2"/>
        <v>0</v>
      </c>
    </row>
    <row r="83">
      <c r="C83" s="43">
        <v>17.0</v>
      </c>
      <c r="F83" s="87" t="s">
        <v>234</v>
      </c>
      <c r="J83" s="43" t="s">
        <v>173</v>
      </c>
      <c r="M83" s="63">
        <f t="shared" si="2"/>
        <v>0</v>
      </c>
    </row>
    <row r="84">
      <c r="F84" s="43" t="s">
        <v>235</v>
      </c>
    </row>
    <row r="85">
      <c r="C85" s="43">
        <v>24.0</v>
      </c>
      <c r="F85" s="43" t="s">
        <v>236</v>
      </c>
    </row>
    <row r="86">
      <c r="F86" s="43" t="s">
        <v>228</v>
      </c>
      <c r="H86" s="63">
        <f>sum(H77:H82)</f>
        <v>24</v>
      </c>
      <c r="M86" s="63">
        <f>sum(M77:M83)</f>
        <v>0</v>
      </c>
    </row>
    <row r="87">
      <c r="G87" s="43" t="s">
        <v>7</v>
      </c>
    </row>
    <row r="88">
      <c r="G88" s="43" t="s">
        <v>16</v>
      </c>
    </row>
    <row r="89">
      <c r="G89" s="43" t="s">
        <v>79</v>
      </c>
    </row>
  </sheetData>
  <mergeCells count="270">
    <mergeCell ref="B3:B4"/>
    <mergeCell ref="C3:C4"/>
    <mergeCell ref="A5:A7"/>
    <mergeCell ref="E5:E7"/>
    <mergeCell ref="F5:F7"/>
    <mergeCell ref="G5:G7"/>
    <mergeCell ref="G8:G10"/>
    <mergeCell ref="D5:D7"/>
    <mergeCell ref="D8:D10"/>
    <mergeCell ref="D11:D13"/>
    <mergeCell ref="E11:E13"/>
    <mergeCell ref="F11:F13"/>
    <mergeCell ref="G11:G13"/>
    <mergeCell ref="H11:H13"/>
    <mergeCell ref="J2:J4"/>
    <mergeCell ref="K2:K4"/>
    <mergeCell ref="L2:L4"/>
    <mergeCell ref="M2:M4"/>
    <mergeCell ref="A2:A4"/>
    <mergeCell ref="D2:D4"/>
    <mergeCell ref="E2:E4"/>
    <mergeCell ref="F2:F4"/>
    <mergeCell ref="G2:G4"/>
    <mergeCell ref="H2:H4"/>
    <mergeCell ref="I2:I4"/>
    <mergeCell ref="H5:H7"/>
    <mergeCell ref="I5:I7"/>
    <mergeCell ref="J5:J7"/>
    <mergeCell ref="K5:K7"/>
    <mergeCell ref="L5:L7"/>
    <mergeCell ref="M5:M7"/>
    <mergeCell ref="N5:N7"/>
    <mergeCell ref="O5:O7"/>
    <mergeCell ref="E8:E10"/>
    <mergeCell ref="F8:F10"/>
    <mergeCell ref="H8:H10"/>
    <mergeCell ref="I8:I10"/>
    <mergeCell ref="J8:J10"/>
    <mergeCell ref="K8:K10"/>
    <mergeCell ref="L8:L10"/>
    <mergeCell ref="M8:M10"/>
    <mergeCell ref="I11:I13"/>
    <mergeCell ref="J11:J13"/>
    <mergeCell ref="K11:K13"/>
    <mergeCell ref="L11:L13"/>
    <mergeCell ref="M11:M13"/>
    <mergeCell ref="K29:K31"/>
    <mergeCell ref="L29:L31"/>
    <mergeCell ref="M29:M31"/>
    <mergeCell ref="D29:D31"/>
    <mergeCell ref="E29:E31"/>
    <mergeCell ref="F29:F31"/>
    <mergeCell ref="G29:G31"/>
    <mergeCell ref="H29:H31"/>
    <mergeCell ref="I29:I31"/>
    <mergeCell ref="J29:J31"/>
    <mergeCell ref="K44:K46"/>
    <mergeCell ref="L44:L46"/>
    <mergeCell ref="M44:M46"/>
    <mergeCell ref="D44:D46"/>
    <mergeCell ref="E44:E46"/>
    <mergeCell ref="F44:F46"/>
    <mergeCell ref="G44:G46"/>
    <mergeCell ref="H44:H46"/>
    <mergeCell ref="I44:I46"/>
    <mergeCell ref="J44:J46"/>
    <mergeCell ref="K32:K34"/>
    <mergeCell ref="L32:L34"/>
    <mergeCell ref="M32:M34"/>
    <mergeCell ref="D32:D34"/>
    <mergeCell ref="E32:E34"/>
    <mergeCell ref="F32:F34"/>
    <mergeCell ref="G32:G34"/>
    <mergeCell ref="H32:H34"/>
    <mergeCell ref="I32:I34"/>
    <mergeCell ref="J32:J34"/>
    <mergeCell ref="K35:K37"/>
    <mergeCell ref="L35:L37"/>
    <mergeCell ref="M35:M37"/>
    <mergeCell ref="D35:D37"/>
    <mergeCell ref="E35:E37"/>
    <mergeCell ref="F35:F37"/>
    <mergeCell ref="G35:G37"/>
    <mergeCell ref="H35:H37"/>
    <mergeCell ref="I35:I37"/>
    <mergeCell ref="J35:J37"/>
    <mergeCell ref="K38:K40"/>
    <mergeCell ref="L38:L40"/>
    <mergeCell ref="M38:M40"/>
    <mergeCell ref="D38:D40"/>
    <mergeCell ref="E38:E40"/>
    <mergeCell ref="F38:F40"/>
    <mergeCell ref="G38:G40"/>
    <mergeCell ref="H38:H40"/>
    <mergeCell ref="I38:I40"/>
    <mergeCell ref="J38:J40"/>
    <mergeCell ref="K47:K49"/>
    <mergeCell ref="L47:L49"/>
    <mergeCell ref="M47:M49"/>
    <mergeCell ref="D47:D49"/>
    <mergeCell ref="E47:E49"/>
    <mergeCell ref="F47:F49"/>
    <mergeCell ref="G47:G49"/>
    <mergeCell ref="H47:H49"/>
    <mergeCell ref="I47:I49"/>
    <mergeCell ref="J47:J49"/>
    <mergeCell ref="K59:K61"/>
    <mergeCell ref="L59:L61"/>
    <mergeCell ref="M59:M61"/>
    <mergeCell ref="D59:D61"/>
    <mergeCell ref="E59:E61"/>
    <mergeCell ref="F59:F61"/>
    <mergeCell ref="G59:G61"/>
    <mergeCell ref="H59:H61"/>
    <mergeCell ref="I59:I61"/>
    <mergeCell ref="J59:J61"/>
    <mergeCell ref="K41:K43"/>
    <mergeCell ref="L41:L43"/>
    <mergeCell ref="M41:M43"/>
    <mergeCell ref="N41:N43"/>
    <mergeCell ref="D41:D43"/>
    <mergeCell ref="E41:E43"/>
    <mergeCell ref="F41:F43"/>
    <mergeCell ref="G41:G43"/>
    <mergeCell ref="H41:H43"/>
    <mergeCell ref="I41:I43"/>
    <mergeCell ref="J41:J43"/>
    <mergeCell ref="K50:K52"/>
    <mergeCell ref="L50:L52"/>
    <mergeCell ref="M50:M52"/>
    <mergeCell ref="D50:D52"/>
    <mergeCell ref="E50:E52"/>
    <mergeCell ref="F50:F52"/>
    <mergeCell ref="G50:G52"/>
    <mergeCell ref="H50:H52"/>
    <mergeCell ref="I50:I52"/>
    <mergeCell ref="J50:J52"/>
    <mergeCell ref="K53:K55"/>
    <mergeCell ref="L53:L55"/>
    <mergeCell ref="M53:M55"/>
    <mergeCell ref="D53:D55"/>
    <mergeCell ref="E53:E55"/>
    <mergeCell ref="F53:F55"/>
    <mergeCell ref="G53:G55"/>
    <mergeCell ref="H53:H55"/>
    <mergeCell ref="I53:I55"/>
    <mergeCell ref="J53:J55"/>
    <mergeCell ref="K62:K64"/>
    <mergeCell ref="L62:L64"/>
    <mergeCell ref="M62:M64"/>
    <mergeCell ref="D62:D64"/>
    <mergeCell ref="E62:E64"/>
    <mergeCell ref="F62:F64"/>
    <mergeCell ref="G62:G64"/>
    <mergeCell ref="H62:H64"/>
    <mergeCell ref="I62:I64"/>
    <mergeCell ref="J62:J64"/>
    <mergeCell ref="K14:K16"/>
    <mergeCell ref="L14:L16"/>
    <mergeCell ref="M14:M16"/>
    <mergeCell ref="D14:D16"/>
    <mergeCell ref="E14:E16"/>
    <mergeCell ref="F14:F16"/>
    <mergeCell ref="G14:G16"/>
    <mergeCell ref="H14:H16"/>
    <mergeCell ref="I14:I16"/>
    <mergeCell ref="J14:J16"/>
    <mergeCell ref="K17:K19"/>
    <mergeCell ref="L17:L19"/>
    <mergeCell ref="M17:M19"/>
    <mergeCell ref="D17:D19"/>
    <mergeCell ref="E17:E19"/>
    <mergeCell ref="F17:F19"/>
    <mergeCell ref="G17:G19"/>
    <mergeCell ref="H17:H19"/>
    <mergeCell ref="I17:I19"/>
    <mergeCell ref="J17:J19"/>
    <mergeCell ref="K20:K22"/>
    <mergeCell ref="L20:L22"/>
    <mergeCell ref="M20:M22"/>
    <mergeCell ref="D20:D22"/>
    <mergeCell ref="E20:E22"/>
    <mergeCell ref="F20:F22"/>
    <mergeCell ref="G20:G22"/>
    <mergeCell ref="H20:H22"/>
    <mergeCell ref="I20:I22"/>
    <mergeCell ref="J20:J22"/>
    <mergeCell ref="K23:K25"/>
    <mergeCell ref="L23:L25"/>
    <mergeCell ref="M23:M25"/>
    <mergeCell ref="D23:D25"/>
    <mergeCell ref="E23:E25"/>
    <mergeCell ref="F23:F25"/>
    <mergeCell ref="G23:G25"/>
    <mergeCell ref="H23:H25"/>
    <mergeCell ref="I23:I25"/>
    <mergeCell ref="J23:J25"/>
    <mergeCell ref="K26:K28"/>
    <mergeCell ref="L26:L28"/>
    <mergeCell ref="M26:M28"/>
    <mergeCell ref="D26:D28"/>
    <mergeCell ref="E26:E28"/>
    <mergeCell ref="F26:F28"/>
    <mergeCell ref="G26:G28"/>
    <mergeCell ref="H26:H28"/>
    <mergeCell ref="I26:I28"/>
    <mergeCell ref="J26:J28"/>
    <mergeCell ref="A8:A10"/>
    <mergeCell ref="A11:A13"/>
    <mergeCell ref="A14:A16"/>
    <mergeCell ref="A17:A19"/>
    <mergeCell ref="A20:A22"/>
    <mergeCell ref="A23:A25"/>
    <mergeCell ref="A26:A28"/>
    <mergeCell ref="A50:A52"/>
    <mergeCell ref="A53:A55"/>
    <mergeCell ref="A56:A58"/>
    <mergeCell ref="A59:A61"/>
    <mergeCell ref="A62:A64"/>
    <mergeCell ref="A65:A67"/>
    <mergeCell ref="A68:A70"/>
    <mergeCell ref="A71:A73"/>
    <mergeCell ref="A29:A31"/>
    <mergeCell ref="A32:A34"/>
    <mergeCell ref="A35:A37"/>
    <mergeCell ref="A38:A40"/>
    <mergeCell ref="A41:A43"/>
    <mergeCell ref="A44:A46"/>
    <mergeCell ref="A47:A49"/>
    <mergeCell ref="K56:K58"/>
    <mergeCell ref="L56:L58"/>
    <mergeCell ref="M56:M58"/>
    <mergeCell ref="D56:D58"/>
    <mergeCell ref="E56:E58"/>
    <mergeCell ref="F56:F58"/>
    <mergeCell ref="G56:G58"/>
    <mergeCell ref="H56:H58"/>
    <mergeCell ref="I56:I58"/>
    <mergeCell ref="J56:J58"/>
    <mergeCell ref="K65:K67"/>
    <mergeCell ref="L65:L67"/>
    <mergeCell ref="M65:M67"/>
    <mergeCell ref="D65:D67"/>
    <mergeCell ref="E65:E67"/>
    <mergeCell ref="F65:F67"/>
    <mergeCell ref="G65:G67"/>
    <mergeCell ref="H65:H67"/>
    <mergeCell ref="I65:I67"/>
    <mergeCell ref="J65:J67"/>
    <mergeCell ref="K68:K70"/>
    <mergeCell ref="L68:L70"/>
    <mergeCell ref="M68:M70"/>
    <mergeCell ref="N68:N70"/>
    <mergeCell ref="D68:D70"/>
    <mergeCell ref="E68:E70"/>
    <mergeCell ref="F68:F70"/>
    <mergeCell ref="G68:G70"/>
    <mergeCell ref="H68:H70"/>
    <mergeCell ref="I68:I70"/>
    <mergeCell ref="J68:J70"/>
    <mergeCell ref="K71:K73"/>
    <mergeCell ref="L71:L73"/>
    <mergeCell ref="M71:M73"/>
    <mergeCell ref="D71:D73"/>
    <mergeCell ref="E71:E73"/>
    <mergeCell ref="F71:F73"/>
    <mergeCell ref="G71:G73"/>
    <mergeCell ref="H71:H73"/>
    <mergeCell ref="I71:I73"/>
    <mergeCell ref="J71:J73"/>
  </mergeCells>
  <hyperlinks>
    <hyperlink r:id="rId1" ref="N5"/>
    <hyperlink r:id="rId2" ref="N19"/>
    <hyperlink r:id="rId3" ref="O26"/>
    <hyperlink r:id="rId4" ref="N41"/>
    <hyperlink r:id="rId5" ref="N68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.43"/>
    <col customWidth="1" min="2" max="2" width="10.71"/>
    <col customWidth="1" min="3" max="3" width="32.86"/>
    <col customWidth="1" hidden="1" min="4" max="4" width="18.14"/>
    <col customWidth="1" hidden="1" min="5" max="5" width="18.86"/>
    <col customWidth="1" min="6" max="6" width="103.29"/>
    <col customWidth="1" min="7" max="7" width="14.0"/>
    <col customWidth="1" min="8" max="8" width="12.43"/>
    <col customWidth="1" min="9" max="9" width="10.0"/>
    <col customWidth="1" min="10" max="10" width="9.0"/>
    <col customWidth="1" min="11" max="11" width="26.86"/>
    <col customWidth="1" min="12" max="12" width="19.0"/>
    <col customWidth="1" min="13" max="13" width="12.14"/>
    <col customWidth="1" hidden="1" min="14" max="14" width="85.86"/>
    <col customWidth="1" hidden="1" min="15" max="15" width="17.71"/>
    <col hidden="1" min="16" max="17" width="14.43"/>
    <col customWidth="1" min="18" max="18" width="24.57"/>
    <col customWidth="1" min="19" max="19" width="22.0"/>
  </cols>
  <sheetData>
    <row r="1">
      <c r="A1" s="1" t="s">
        <v>0</v>
      </c>
      <c r="B1" s="1" t="s">
        <v>2</v>
      </c>
      <c r="C1" s="25" t="s">
        <v>1</v>
      </c>
      <c r="D1" s="88" t="s">
        <v>3</v>
      </c>
      <c r="E1" s="89" t="s">
        <v>4</v>
      </c>
      <c r="F1" s="1" t="s">
        <v>185</v>
      </c>
      <c r="G1" s="1" t="s">
        <v>6</v>
      </c>
      <c r="H1" s="1" t="s">
        <v>7</v>
      </c>
      <c r="I1" s="37" t="s">
        <v>126</v>
      </c>
      <c r="J1" s="37" t="s">
        <v>127</v>
      </c>
      <c r="K1" s="90" t="s">
        <v>128</v>
      </c>
      <c r="L1" s="90" t="s">
        <v>129</v>
      </c>
      <c r="M1" s="37" t="s">
        <v>130</v>
      </c>
      <c r="N1" s="43" t="s">
        <v>186</v>
      </c>
      <c r="O1" s="43" t="s">
        <v>187</v>
      </c>
    </row>
    <row r="2">
      <c r="A2" s="91">
        <v>1.0</v>
      </c>
      <c r="B2" s="92">
        <v>1.1321028E7</v>
      </c>
      <c r="C2" s="93" t="s">
        <v>8</v>
      </c>
      <c r="D2" s="94" t="s">
        <v>9</v>
      </c>
      <c r="E2" s="94" t="s">
        <v>10</v>
      </c>
      <c r="F2" s="95" t="s">
        <v>188</v>
      </c>
      <c r="G2" s="96" t="s">
        <v>12</v>
      </c>
      <c r="H2" s="40"/>
      <c r="I2" s="41" t="s">
        <v>23</v>
      </c>
      <c r="J2" s="41" t="s">
        <v>30</v>
      </c>
      <c r="K2" s="97" t="s">
        <v>237</v>
      </c>
      <c r="L2" s="97" t="s">
        <v>238</v>
      </c>
      <c r="M2" s="41" t="s">
        <v>239</v>
      </c>
    </row>
    <row r="3">
      <c r="A3" s="14"/>
      <c r="B3" s="91">
        <v>1.1321033E7</v>
      </c>
      <c r="C3" s="98" t="s">
        <v>13</v>
      </c>
      <c r="D3" s="14"/>
      <c r="E3" s="14"/>
      <c r="F3" s="14"/>
      <c r="G3" s="14"/>
      <c r="H3" s="14"/>
      <c r="I3" s="14"/>
      <c r="J3" s="14"/>
      <c r="K3" s="14"/>
      <c r="L3" s="14"/>
      <c r="M3" s="14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99">
        <v>2.0</v>
      </c>
      <c r="B5" s="1">
        <v>1.1321016E7</v>
      </c>
      <c r="C5" s="25" t="s">
        <v>14</v>
      </c>
      <c r="D5" s="100" t="s">
        <v>9</v>
      </c>
      <c r="E5" s="100" t="s">
        <v>10</v>
      </c>
      <c r="F5" s="101" t="s">
        <v>189</v>
      </c>
      <c r="G5" s="102" t="s">
        <v>12</v>
      </c>
      <c r="H5" s="99" t="s">
        <v>16</v>
      </c>
      <c r="I5" s="80" t="s">
        <v>36</v>
      </c>
      <c r="J5" s="80" t="s">
        <v>23</v>
      </c>
      <c r="K5" s="103" t="s">
        <v>240</v>
      </c>
      <c r="L5" s="103" t="s">
        <v>241</v>
      </c>
      <c r="M5" s="44" t="s">
        <v>239</v>
      </c>
      <c r="N5" s="70" t="s">
        <v>190</v>
      </c>
      <c r="O5" s="43" t="s">
        <v>191</v>
      </c>
    </row>
    <row r="6">
      <c r="A6" s="14"/>
      <c r="B6" s="1">
        <v>1.1321072E7</v>
      </c>
      <c r="C6" s="25" t="s">
        <v>17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>
      <c r="A7" s="18"/>
      <c r="B7" s="1">
        <v>1.1321062E7</v>
      </c>
      <c r="C7" s="25" t="s">
        <v>18</v>
      </c>
      <c r="D7" s="18"/>
      <c r="E7" s="18"/>
      <c r="F7" s="18"/>
      <c r="G7" s="18"/>
      <c r="H7" s="18"/>
      <c r="I7" s="18"/>
      <c r="J7" s="18"/>
      <c r="K7" s="18"/>
      <c r="L7" s="18"/>
      <c r="M7" s="18"/>
      <c r="P7" s="43" t="s">
        <v>192</v>
      </c>
    </row>
    <row r="8">
      <c r="A8" s="104">
        <v>3.0</v>
      </c>
      <c r="B8" s="105">
        <v>1.1321018E7</v>
      </c>
      <c r="C8" s="106" t="s">
        <v>19</v>
      </c>
      <c r="D8" s="107" t="s">
        <v>20</v>
      </c>
      <c r="E8" s="108" t="s">
        <v>21</v>
      </c>
      <c r="F8" s="109" t="s">
        <v>193</v>
      </c>
      <c r="G8" s="110" t="s">
        <v>23</v>
      </c>
      <c r="H8" s="111"/>
      <c r="I8" s="50" t="s">
        <v>36</v>
      </c>
      <c r="J8" s="50" t="s">
        <v>30</v>
      </c>
      <c r="K8" s="112" t="s">
        <v>242</v>
      </c>
      <c r="L8" s="112" t="s">
        <v>243</v>
      </c>
      <c r="M8" s="50" t="s">
        <v>239</v>
      </c>
    </row>
    <row r="9">
      <c r="A9" s="14"/>
      <c r="B9" s="105">
        <v>1.1321068E7</v>
      </c>
      <c r="C9" s="106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43" t="s">
        <v>194</v>
      </c>
    </row>
    <row r="10">
      <c r="A10" s="18"/>
      <c r="B10" s="105">
        <v>1.1321039E7</v>
      </c>
      <c r="C10" s="106" t="s">
        <v>25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>
      <c r="A11" s="99">
        <v>4.0</v>
      </c>
      <c r="B11" s="1">
        <v>1.132101E7</v>
      </c>
      <c r="C11" s="25" t="s">
        <v>26</v>
      </c>
      <c r="D11" s="113" t="s">
        <v>27</v>
      </c>
      <c r="E11" s="100" t="s">
        <v>28</v>
      </c>
      <c r="F11" s="101" t="s">
        <v>29</v>
      </c>
      <c r="G11" s="102" t="s">
        <v>30</v>
      </c>
      <c r="H11" s="13"/>
      <c r="I11" s="80" t="s">
        <v>12</v>
      </c>
      <c r="J11" s="80" t="s">
        <v>23</v>
      </c>
      <c r="K11" s="103" t="s">
        <v>240</v>
      </c>
      <c r="L11" s="103" t="s">
        <v>244</v>
      </c>
      <c r="M11" s="44" t="s">
        <v>239</v>
      </c>
    </row>
    <row r="12">
      <c r="A12" s="14"/>
      <c r="B12" s="1">
        <v>1.1321032E7</v>
      </c>
      <c r="C12" s="25" t="s">
        <v>31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>
      <c r="A13" s="18"/>
      <c r="B13" s="1">
        <v>1.1321059E7</v>
      </c>
      <c r="C13" s="25" t="s">
        <v>32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>
      <c r="A14" s="114">
        <v>5.0</v>
      </c>
      <c r="B14" s="115">
        <v>1.1321038E7</v>
      </c>
      <c r="C14" s="116" t="s">
        <v>33</v>
      </c>
      <c r="D14" s="117" t="s">
        <v>9</v>
      </c>
      <c r="E14" s="117" t="s">
        <v>34</v>
      </c>
      <c r="F14" s="118" t="s">
        <v>195</v>
      </c>
      <c r="G14" s="119" t="s">
        <v>36</v>
      </c>
      <c r="H14" s="120"/>
      <c r="I14" s="121" t="s">
        <v>30</v>
      </c>
      <c r="J14" s="121" t="s">
        <v>23</v>
      </c>
      <c r="K14" s="122" t="s">
        <v>245</v>
      </c>
      <c r="L14" s="122" t="s">
        <v>246</v>
      </c>
      <c r="M14" s="121" t="s">
        <v>239</v>
      </c>
    </row>
    <row r="15">
      <c r="A15" s="14"/>
      <c r="B15" s="115">
        <v>1.1321026E7</v>
      </c>
      <c r="C15" s="116" t="s">
        <v>37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>
      <c r="A16" s="18"/>
      <c r="B16" s="115">
        <v>1.1321071E7</v>
      </c>
      <c r="C16" s="116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>
      <c r="A17" s="123">
        <v>6.0</v>
      </c>
      <c r="B17" s="124">
        <v>1.1321048E7</v>
      </c>
      <c r="C17" s="125" t="s">
        <v>39</v>
      </c>
      <c r="D17" s="126" t="s">
        <v>9</v>
      </c>
      <c r="E17" s="126" t="s">
        <v>28</v>
      </c>
      <c r="F17" s="127" t="s">
        <v>196</v>
      </c>
      <c r="G17" s="123" t="s">
        <v>12</v>
      </c>
      <c r="H17" s="123" t="s">
        <v>16</v>
      </c>
      <c r="I17" s="80" t="s">
        <v>30</v>
      </c>
      <c r="J17" s="80" t="s">
        <v>23</v>
      </c>
      <c r="K17" s="103" t="s">
        <v>240</v>
      </c>
      <c r="L17" s="103" t="s">
        <v>247</v>
      </c>
      <c r="M17" s="80" t="s">
        <v>239</v>
      </c>
      <c r="N17" s="43" t="s">
        <v>197</v>
      </c>
      <c r="O17" s="43" t="s">
        <v>198</v>
      </c>
    </row>
    <row r="18">
      <c r="A18" s="14"/>
      <c r="B18" s="124">
        <v>1.1321053E7</v>
      </c>
      <c r="C18" s="125" t="s">
        <v>42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>
      <c r="A19" s="18"/>
      <c r="B19" s="124">
        <v>1.132107E7</v>
      </c>
      <c r="C19" s="125" t="s">
        <v>43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70" t="s">
        <v>199</v>
      </c>
      <c r="O19" s="43" t="s">
        <v>191</v>
      </c>
      <c r="P19" s="43" t="s">
        <v>200</v>
      </c>
    </row>
    <row r="20">
      <c r="A20" s="123">
        <v>7.0</v>
      </c>
      <c r="B20" s="124">
        <v>1.1321044E7</v>
      </c>
      <c r="C20" s="125" t="s">
        <v>44</v>
      </c>
      <c r="D20" s="126" t="s">
        <v>9</v>
      </c>
      <c r="E20" s="126" t="s">
        <v>45</v>
      </c>
      <c r="F20" s="128" t="s">
        <v>201</v>
      </c>
      <c r="G20" s="129" t="s">
        <v>36</v>
      </c>
      <c r="H20" s="130"/>
      <c r="I20" s="80" t="s">
        <v>12</v>
      </c>
      <c r="J20" s="80" t="s">
        <v>30</v>
      </c>
      <c r="K20" s="103" t="s">
        <v>242</v>
      </c>
      <c r="L20" s="103" t="s">
        <v>244</v>
      </c>
      <c r="M20" s="80" t="s">
        <v>239</v>
      </c>
    </row>
    <row r="21">
      <c r="A21" s="14"/>
      <c r="B21" s="124">
        <v>1.1321005E7</v>
      </c>
      <c r="C21" s="125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O21" s="43" t="s">
        <v>202</v>
      </c>
    </row>
    <row r="22">
      <c r="A22" s="18"/>
      <c r="B22" s="124">
        <v>1.1321047E7</v>
      </c>
      <c r="C22" s="125" t="s">
        <v>48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>
      <c r="A23" s="91">
        <v>8.0</v>
      </c>
      <c r="B23" s="92">
        <v>1.1321013E7</v>
      </c>
      <c r="C23" s="93" t="s">
        <v>49</v>
      </c>
      <c r="D23" s="131" t="s">
        <v>50</v>
      </c>
      <c r="E23" s="94" t="s">
        <v>51</v>
      </c>
      <c r="F23" s="95" t="s">
        <v>52</v>
      </c>
      <c r="G23" s="96" t="s">
        <v>53</v>
      </c>
      <c r="H23" s="40"/>
      <c r="I23" s="41" t="s">
        <v>174</v>
      </c>
      <c r="J23" s="41" t="s">
        <v>23</v>
      </c>
      <c r="K23" s="132" t="s">
        <v>237</v>
      </c>
      <c r="L23" s="132" t="s">
        <v>248</v>
      </c>
      <c r="M23" s="41" t="s">
        <v>239</v>
      </c>
      <c r="R23" s="43" t="s">
        <v>249</v>
      </c>
      <c r="S23" s="43" t="s">
        <v>250</v>
      </c>
    </row>
    <row r="24">
      <c r="A24" s="14"/>
      <c r="B24" s="92">
        <v>1.1321058E7</v>
      </c>
      <c r="C24" s="93" t="s">
        <v>54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43" t="s">
        <v>203</v>
      </c>
    </row>
    <row r="25">
      <c r="A25" s="18"/>
      <c r="B25" s="92">
        <v>1.1321069E7</v>
      </c>
      <c r="C25" s="93" t="s">
        <v>55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>
      <c r="A26" s="133">
        <v>9.0</v>
      </c>
      <c r="B26" s="134">
        <v>1.132103E7</v>
      </c>
      <c r="C26" s="135" t="s">
        <v>56</v>
      </c>
      <c r="D26" s="136" t="s">
        <v>20</v>
      </c>
      <c r="E26" s="137" t="s">
        <v>21</v>
      </c>
      <c r="F26" s="138" t="s">
        <v>57</v>
      </c>
      <c r="G26" s="133" t="s">
        <v>23</v>
      </c>
      <c r="H26" s="139"/>
      <c r="I26" s="140" t="s">
        <v>12</v>
      </c>
      <c r="J26" s="140" t="s">
        <v>36</v>
      </c>
      <c r="K26" s="141" t="s">
        <v>251</v>
      </c>
      <c r="L26" s="141" t="s">
        <v>252</v>
      </c>
      <c r="M26" s="140" t="s">
        <v>239</v>
      </c>
      <c r="N26" s="142" t="s">
        <v>204</v>
      </c>
      <c r="O26" s="143" t="s">
        <v>205</v>
      </c>
      <c r="P26" s="144"/>
      <c r="Q26" s="144"/>
      <c r="R26" s="144"/>
    </row>
    <row r="27">
      <c r="A27" s="14"/>
      <c r="B27" s="134">
        <v>1.1321036E7</v>
      </c>
      <c r="C27" s="135" t="s">
        <v>58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4"/>
      <c r="O27" s="144"/>
      <c r="P27" s="144"/>
      <c r="Q27" s="144"/>
      <c r="R27" s="144"/>
    </row>
    <row r="28">
      <c r="A28" s="18"/>
      <c r="B28" s="134">
        <v>1.1321041E7</v>
      </c>
      <c r="C28" s="135" t="s">
        <v>59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44"/>
      <c r="O28" s="144"/>
      <c r="P28" s="144"/>
      <c r="Q28" s="144"/>
      <c r="R28" s="144"/>
    </row>
    <row r="29">
      <c r="A29" s="123">
        <v>10.0</v>
      </c>
      <c r="B29" s="124">
        <v>1.1321051E7</v>
      </c>
      <c r="C29" s="125" t="s">
        <v>60</v>
      </c>
      <c r="D29" s="126" t="s">
        <v>9</v>
      </c>
      <c r="E29" s="126" t="s">
        <v>10</v>
      </c>
      <c r="F29" s="128" t="s">
        <v>206</v>
      </c>
      <c r="G29" s="129" t="s">
        <v>12</v>
      </c>
      <c r="H29" s="130"/>
      <c r="I29" s="80" t="s">
        <v>30</v>
      </c>
      <c r="J29" s="80" t="s">
        <v>23</v>
      </c>
      <c r="K29" s="103" t="s">
        <v>251</v>
      </c>
      <c r="L29" s="103" t="s">
        <v>238</v>
      </c>
      <c r="M29" s="80" t="s">
        <v>239</v>
      </c>
    </row>
    <row r="30">
      <c r="A30" s="14"/>
      <c r="B30" s="124">
        <v>1.1321007E7</v>
      </c>
      <c r="C30" s="125" t="s">
        <v>62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>
      <c r="A31" s="18"/>
      <c r="B31" s="124">
        <v>1.1321021E7</v>
      </c>
      <c r="C31" s="125" t="s">
        <v>63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>
      <c r="A32" s="91">
        <v>11.0</v>
      </c>
      <c r="B32" s="92">
        <v>1.1321015E7</v>
      </c>
      <c r="C32" s="93" t="s">
        <v>64</v>
      </c>
      <c r="D32" s="94" t="s">
        <v>9</v>
      </c>
      <c r="E32" s="94" t="s">
        <v>10</v>
      </c>
      <c r="F32" s="95" t="s">
        <v>253</v>
      </c>
      <c r="G32" s="96" t="s">
        <v>23</v>
      </c>
      <c r="H32" s="40"/>
      <c r="I32" s="41" t="s">
        <v>30</v>
      </c>
      <c r="J32" s="41" t="s">
        <v>12</v>
      </c>
      <c r="K32" s="132" t="s">
        <v>237</v>
      </c>
      <c r="L32" s="132" t="s">
        <v>252</v>
      </c>
      <c r="M32" s="41" t="s">
        <v>239</v>
      </c>
    </row>
    <row r="33">
      <c r="A33" s="14"/>
      <c r="B33" s="92">
        <v>1.1321025E7</v>
      </c>
      <c r="C33" s="93" t="s">
        <v>66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>
      <c r="A34" s="18"/>
      <c r="B34" s="92">
        <v>1.132106E7</v>
      </c>
      <c r="C34" s="93" t="s">
        <v>67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>
      <c r="A35" s="123">
        <v>12.0</v>
      </c>
      <c r="B35" s="124">
        <v>1.1321034E7</v>
      </c>
      <c r="C35" s="125" t="s">
        <v>68</v>
      </c>
      <c r="D35" s="126" t="s">
        <v>9</v>
      </c>
      <c r="E35" s="126" t="s">
        <v>34</v>
      </c>
      <c r="F35" s="128" t="s">
        <v>254</v>
      </c>
      <c r="G35" s="129" t="s">
        <v>36</v>
      </c>
      <c r="H35" s="130"/>
      <c r="I35" s="80" t="s">
        <v>30</v>
      </c>
      <c r="J35" s="80" t="s">
        <v>12</v>
      </c>
      <c r="K35" s="103" t="s">
        <v>242</v>
      </c>
      <c r="L35" s="103" t="s">
        <v>241</v>
      </c>
      <c r="M35" s="80" t="s">
        <v>239</v>
      </c>
    </row>
    <row r="36">
      <c r="A36" s="14"/>
      <c r="B36" s="124">
        <v>1.1321055E7</v>
      </c>
      <c r="C36" s="125" t="s">
        <v>70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>
      <c r="A37" s="18"/>
      <c r="B37" s="124">
        <v>1.1321054E7</v>
      </c>
      <c r="C37" s="125" t="s">
        <v>71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>
      <c r="A38" s="114">
        <v>13.0</v>
      </c>
      <c r="B38" s="115">
        <v>1.1321045E7</v>
      </c>
      <c r="C38" s="116" t="s">
        <v>72</v>
      </c>
      <c r="D38" s="145" t="s">
        <v>27</v>
      </c>
      <c r="E38" s="117" t="s">
        <v>10</v>
      </c>
      <c r="F38" s="118" t="s">
        <v>209</v>
      </c>
      <c r="G38" s="119" t="s">
        <v>30</v>
      </c>
      <c r="H38" s="120"/>
      <c r="I38" s="121" t="s">
        <v>36</v>
      </c>
      <c r="J38" s="121" t="s">
        <v>12</v>
      </c>
      <c r="K38" s="122" t="s">
        <v>255</v>
      </c>
      <c r="L38" s="122" t="s">
        <v>256</v>
      </c>
      <c r="M38" s="121" t="s">
        <v>239</v>
      </c>
      <c r="R38" s="43" t="s">
        <v>257</v>
      </c>
    </row>
    <row r="39">
      <c r="A39" s="14"/>
      <c r="B39" s="115">
        <v>1.1321056E7</v>
      </c>
      <c r="C39" s="116" t="s">
        <v>74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R39" s="43"/>
    </row>
    <row r="40">
      <c r="A40" s="18"/>
      <c r="B40" s="115">
        <v>1.1321057E7</v>
      </c>
      <c r="C40" s="116" t="s">
        <v>75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>
      <c r="A41" s="146">
        <v>14.0</v>
      </c>
      <c r="B41" s="147">
        <v>1.1321064E7</v>
      </c>
      <c r="C41" s="148" t="s">
        <v>76</v>
      </c>
      <c r="D41" s="149" t="s">
        <v>27</v>
      </c>
      <c r="E41" s="149" t="s">
        <v>77</v>
      </c>
      <c r="F41" s="150" t="s">
        <v>210</v>
      </c>
      <c r="G41" s="151" t="s">
        <v>30</v>
      </c>
      <c r="H41" s="146" t="s">
        <v>79</v>
      </c>
      <c r="I41" s="58" t="s">
        <v>23</v>
      </c>
      <c r="J41" s="58" t="s">
        <v>12</v>
      </c>
      <c r="K41" s="152" t="s">
        <v>237</v>
      </c>
      <c r="L41" s="152" t="s">
        <v>258</v>
      </c>
      <c r="M41" s="58" t="s">
        <v>239</v>
      </c>
      <c r="N41" s="83" t="s">
        <v>211</v>
      </c>
      <c r="R41" s="43" t="s">
        <v>259</v>
      </c>
      <c r="S41" s="103" t="s">
        <v>260</v>
      </c>
    </row>
    <row r="42">
      <c r="A42" s="14"/>
      <c r="B42" s="147">
        <v>1.1321052E7</v>
      </c>
      <c r="C42" s="148" t="s">
        <v>80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O42" s="43" t="s">
        <v>191</v>
      </c>
      <c r="S42" s="14"/>
      <c r="T42" s="153"/>
    </row>
    <row r="43">
      <c r="A43" s="18"/>
      <c r="B43" s="147">
        <v>1.1321014E7</v>
      </c>
      <c r="C43" s="148" t="s">
        <v>81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S43" s="18"/>
    </row>
    <row r="44">
      <c r="A44" s="123">
        <v>15.0</v>
      </c>
      <c r="B44" s="124">
        <v>1.1321043E7</v>
      </c>
      <c r="C44" s="125" t="s">
        <v>82</v>
      </c>
      <c r="D44" s="126" t="s">
        <v>9</v>
      </c>
      <c r="E44" s="126" t="s">
        <v>45</v>
      </c>
      <c r="F44" s="128" t="s">
        <v>212</v>
      </c>
      <c r="G44" s="129" t="s">
        <v>36</v>
      </c>
      <c r="H44" s="123" t="s">
        <v>79</v>
      </c>
      <c r="I44" s="80" t="s">
        <v>12</v>
      </c>
      <c r="J44" s="80" t="s">
        <v>30</v>
      </c>
      <c r="K44" s="103" t="s">
        <v>251</v>
      </c>
      <c r="L44" s="103" t="s">
        <v>241</v>
      </c>
      <c r="M44" s="80" t="s">
        <v>239</v>
      </c>
    </row>
    <row r="45">
      <c r="A45" s="14"/>
      <c r="B45" s="124">
        <v>1.1321073E7</v>
      </c>
      <c r="C45" s="125" t="s">
        <v>84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>
      <c r="A46" s="18"/>
      <c r="B46" s="124">
        <v>1.1321023E7</v>
      </c>
      <c r="C46" s="125" t="s">
        <v>85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>
      <c r="A47" s="123">
        <v>16.0</v>
      </c>
      <c r="B47" s="124">
        <v>1.1321008E7</v>
      </c>
      <c r="C47" s="125" t="s">
        <v>86</v>
      </c>
      <c r="D47" s="154" t="s">
        <v>27</v>
      </c>
      <c r="E47" s="126" t="s">
        <v>10</v>
      </c>
      <c r="F47" s="128" t="s">
        <v>165</v>
      </c>
      <c r="G47" s="129" t="s">
        <v>30</v>
      </c>
      <c r="H47" s="130"/>
      <c r="I47" s="80" t="s">
        <v>36</v>
      </c>
      <c r="J47" s="80" t="s">
        <v>12</v>
      </c>
      <c r="K47" s="103" t="s">
        <v>242</v>
      </c>
      <c r="L47" s="103" t="s">
        <v>238</v>
      </c>
      <c r="M47" s="80" t="s">
        <v>239</v>
      </c>
    </row>
    <row r="48">
      <c r="A48" s="14"/>
      <c r="B48" s="124">
        <v>1.1321019E7</v>
      </c>
      <c r="C48" s="125" t="s">
        <v>88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>
      <c r="A49" s="18"/>
      <c r="B49" s="124">
        <v>1.1321035E7</v>
      </c>
      <c r="C49" s="125" t="s">
        <v>89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43" t="s">
        <v>213</v>
      </c>
    </row>
    <row r="50">
      <c r="A50" s="123">
        <v>17.0</v>
      </c>
      <c r="B50" s="124">
        <v>1.1321037E7</v>
      </c>
      <c r="C50" s="125" t="s">
        <v>90</v>
      </c>
      <c r="D50" s="126" t="s">
        <v>9</v>
      </c>
      <c r="E50" s="126" t="s">
        <v>10</v>
      </c>
      <c r="F50" s="128" t="s">
        <v>214</v>
      </c>
      <c r="G50" s="129" t="s">
        <v>12</v>
      </c>
      <c r="H50" s="130"/>
      <c r="I50" s="80" t="s">
        <v>30</v>
      </c>
      <c r="J50" s="80" t="s">
        <v>36</v>
      </c>
      <c r="K50" s="103" t="s">
        <v>251</v>
      </c>
      <c r="L50" s="103" t="s">
        <v>261</v>
      </c>
      <c r="M50" s="80" t="s">
        <v>239</v>
      </c>
      <c r="S50" s="43" t="s">
        <v>256</v>
      </c>
    </row>
    <row r="51">
      <c r="A51" s="14"/>
      <c r="B51" s="124">
        <v>1.1321024E7</v>
      </c>
      <c r="C51" s="125" t="s">
        <v>92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>
      <c r="A52" s="18"/>
      <c r="B52" s="124">
        <v>1.1321066E7</v>
      </c>
      <c r="C52" s="125" t="s">
        <v>93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>
      <c r="A53" s="123">
        <v>18.0</v>
      </c>
      <c r="B53" s="124">
        <v>1.1321002E7</v>
      </c>
      <c r="C53" s="125" t="s">
        <v>94</v>
      </c>
      <c r="D53" s="126" t="s">
        <v>95</v>
      </c>
      <c r="E53" s="126" t="s">
        <v>96</v>
      </c>
      <c r="F53" s="128" t="s">
        <v>215</v>
      </c>
      <c r="G53" s="129" t="s">
        <v>23</v>
      </c>
      <c r="H53" s="130"/>
      <c r="I53" s="80" t="s">
        <v>12</v>
      </c>
      <c r="J53" s="80" t="s">
        <v>36</v>
      </c>
      <c r="K53" s="103" t="s">
        <v>240</v>
      </c>
      <c r="L53" s="103" t="s">
        <v>238</v>
      </c>
      <c r="M53" s="80" t="s">
        <v>239</v>
      </c>
    </row>
    <row r="54">
      <c r="A54" s="14"/>
      <c r="B54" s="124">
        <v>1.1321017E7</v>
      </c>
      <c r="C54" s="125" t="s">
        <v>98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>
      <c r="A55" s="18"/>
      <c r="B55" s="124">
        <v>1.1321029E7</v>
      </c>
      <c r="C55" s="125" t="s">
        <v>99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>
      <c r="A56" s="123">
        <v>19.0</v>
      </c>
      <c r="B56" s="124">
        <v>1.1321009E7</v>
      </c>
      <c r="C56" s="125" t="s">
        <v>100</v>
      </c>
      <c r="D56" s="155" t="s">
        <v>20</v>
      </c>
      <c r="E56" s="126" t="s">
        <v>101</v>
      </c>
      <c r="F56" s="128" t="s">
        <v>216</v>
      </c>
      <c r="G56" s="129" t="s">
        <v>23</v>
      </c>
      <c r="H56" s="123" t="s">
        <v>16</v>
      </c>
      <c r="I56" s="80" t="s">
        <v>30</v>
      </c>
      <c r="J56" s="80" t="s">
        <v>36</v>
      </c>
      <c r="K56" s="103" t="s">
        <v>251</v>
      </c>
      <c r="L56" s="103" t="s">
        <v>262</v>
      </c>
      <c r="M56" s="80" t="s">
        <v>171</v>
      </c>
      <c r="N56" s="43" t="s">
        <v>217</v>
      </c>
    </row>
    <row r="57">
      <c r="A57" s="14"/>
      <c r="B57" s="124">
        <v>1.1321011E7</v>
      </c>
      <c r="C57" s="125" t="s">
        <v>103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43" t="s">
        <v>218</v>
      </c>
    </row>
    <row r="58">
      <c r="A58" s="18"/>
      <c r="B58" s="124">
        <v>1.1321022E7</v>
      </c>
      <c r="C58" s="125" t="s">
        <v>104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>
      <c r="A59" s="114">
        <v>20.0</v>
      </c>
      <c r="B59" s="115">
        <v>1.1321001E7</v>
      </c>
      <c r="C59" s="116" t="s">
        <v>105</v>
      </c>
      <c r="D59" s="156" t="s">
        <v>50</v>
      </c>
      <c r="E59" s="117" t="s">
        <v>51</v>
      </c>
      <c r="F59" s="118" t="s">
        <v>106</v>
      </c>
      <c r="G59" s="119" t="s">
        <v>53</v>
      </c>
      <c r="H59" s="120"/>
      <c r="I59" s="121" t="s">
        <v>173</v>
      </c>
      <c r="J59" s="121" t="s">
        <v>23</v>
      </c>
      <c r="K59" s="122" t="s">
        <v>255</v>
      </c>
      <c r="L59" s="122" t="s">
        <v>256</v>
      </c>
      <c r="M59" s="121" t="s">
        <v>239</v>
      </c>
      <c r="N59" s="43" t="s">
        <v>219</v>
      </c>
    </row>
    <row r="60">
      <c r="A60" s="14"/>
      <c r="B60" s="115">
        <v>1.1321031E7</v>
      </c>
      <c r="C60" s="116" t="s">
        <v>107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84"/>
    </row>
    <row r="61">
      <c r="A61" s="18"/>
      <c r="B61" s="115">
        <v>1.1321063E7</v>
      </c>
      <c r="C61" s="116" t="s">
        <v>108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>
      <c r="A62" s="123">
        <v>21.0</v>
      </c>
      <c r="B62" s="124">
        <v>1.1321012E7</v>
      </c>
      <c r="C62" s="125" t="s">
        <v>109</v>
      </c>
      <c r="D62" s="126" t="s">
        <v>9</v>
      </c>
      <c r="E62" s="126" t="s">
        <v>10</v>
      </c>
      <c r="F62" s="128" t="s">
        <v>220</v>
      </c>
      <c r="G62" s="123" t="s">
        <v>30</v>
      </c>
      <c r="H62" s="130"/>
      <c r="I62" s="80" t="s">
        <v>36</v>
      </c>
      <c r="J62" s="80" t="s">
        <v>12</v>
      </c>
      <c r="K62" s="103" t="s">
        <v>242</v>
      </c>
      <c r="L62" s="103" t="s">
        <v>252</v>
      </c>
      <c r="M62" s="80" t="s">
        <v>239</v>
      </c>
      <c r="N62" s="43" t="s">
        <v>221</v>
      </c>
    </row>
    <row r="63">
      <c r="A63" s="14"/>
      <c r="B63" s="124">
        <v>1.1321061E7</v>
      </c>
      <c r="C63" s="125" t="s">
        <v>111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>
      <c r="A64" s="18"/>
      <c r="B64" s="124">
        <v>1.1321067E7</v>
      </c>
      <c r="C64" s="125" t="s">
        <v>112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>
      <c r="A65" s="123">
        <v>22.0</v>
      </c>
      <c r="B65" s="124">
        <v>1.1321003E7</v>
      </c>
      <c r="C65" s="125" t="s">
        <v>113</v>
      </c>
      <c r="D65" s="154" t="s">
        <v>27</v>
      </c>
      <c r="E65" s="126" t="s">
        <v>114</v>
      </c>
      <c r="F65" s="128" t="s">
        <v>179</v>
      </c>
      <c r="G65" s="129" t="s">
        <v>30</v>
      </c>
      <c r="H65" s="130"/>
      <c r="I65" s="80" t="s">
        <v>23</v>
      </c>
      <c r="J65" s="80" t="s">
        <v>36</v>
      </c>
      <c r="K65" s="103" t="s">
        <v>251</v>
      </c>
      <c r="L65" s="103" t="s">
        <v>244</v>
      </c>
      <c r="M65" s="80" t="s">
        <v>239</v>
      </c>
    </row>
    <row r="66">
      <c r="A66" s="14"/>
      <c r="B66" s="124">
        <v>1.1321006E7</v>
      </c>
      <c r="C66" s="125" t="s">
        <v>116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>
      <c r="A67" s="18"/>
      <c r="B67" s="124">
        <v>1.132102E7</v>
      </c>
      <c r="C67" s="125" t="s">
        <v>117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>
      <c r="A68" s="123">
        <v>23.0</v>
      </c>
      <c r="B68" s="124">
        <v>1.1321042E7</v>
      </c>
      <c r="C68" s="125" t="s">
        <v>118</v>
      </c>
      <c r="D68" s="126" t="s">
        <v>9</v>
      </c>
      <c r="E68" s="126" t="s">
        <v>10</v>
      </c>
      <c r="F68" s="128" t="s">
        <v>223</v>
      </c>
      <c r="G68" s="129" t="s">
        <v>36</v>
      </c>
      <c r="H68" s="130"/>
      <c r="I68" s="80" t="s">
        <v>30</v>
      </c>
      <c r="J68" s="80" t="s">
        <v>23</v>
      </c>
      <c r="K68" s="157" t="s">
        <v>242</v>
      </c>
      <c r="L68" s="103" t="s">
        <v>262</v>
      </c>
      <c r="M68" s="80" t="s">
        <v>239</v>
      </c>
      <c r="N68" s="70" t="s">
        <v>224</v>
      </c>
    </row>
    <row r="69">
      <c r="A69" s="14"/>
      <c r="B69" s="124">
        <v>1.1321049E7</v>
      </c>
      <c r="C69" s="125" t="s">
        <v>120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O69" s="43" t="s">
        <v>191</v>
      </c>
      <c r="P69" s="43" t="s">
        <v>225</v>
      </c>
    </row>
    <row r="70">
      <c r="A70" s="18"/>
      <c r="B70" s="124">
        <v>1.1321027E7</v>
      </c>
      <c r="C70" s="125" t="s">
        <v>121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P70" s="43" t="s">
        <v>227</v>
      </c>
    </row>
    <row r="71">
      <c r="A71" s="114">
        <v>24.0</v>
      </c>
      <c r="B71" s="115">
        <v>1.1321046E7</v>
      </c>
      <c r="C71" s="116" t="s">
        <v>122</v>
      </c>
      <c r="D71" s="156" t="s">
        <v>20</v>
      </c>
      <c r="E71" s="117" t="s">
        <v>21</v>
      </c>
      <c r="F71" s="118" t="s">
        <v>263</v>
      </c>
      <c r="G71" s="119" t="s">
        <v>23</v>
      </c>
      <c r="H71" s="120"/>
      <c r="I71" s="121" t="s">
        <v>36</v>
      </c>
      <c r="J71" s="121" t="s">
        <v>30</v>
      </c>
      <c r="K71" s="122" t="s">
        <v>255</v>
      </c>
      <c r="L71" s="122" t="s">
        <v>264</v>
      </c>
      <c r="M71" s="121" t="s">
        <v>239</v>
      </c>
    </row>
    <row r="72">
      <c r="A72" s="14"/>
      <c r="B72" s="115">
        <v>1.1321051E7</v>
      </c>
      <c r="C72" s="116" t="s">
        <v>124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>
      <c r="A73" s="18"/>
      <c r="B73" s="115">
        <v>1.1321065E7</v>
      </c>
      <c r="C73" s="116" t="s">
        <v>125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43" t="s">
        <v>229</v>
      </c>
      <c r="P73" s="43" t="s">
        <v>230</v>
      </c>
    </row>
    <row r="74">
      <c r="A74" s="158">
        <v>25.0</v>
      </c>
      <c r="B74" s="37">
        <v>1.1320055E7</v>
      </c>
      <c r="C74" s="37" t="s">
        <v>265</v>
      </c>
      <c r="D74" s="159"/>
      <c r="E74" s="159"/>
      <c r="F74" s="37" t="s">
        <v>266</v>
      </c>
      <c r="G74" s="158" t="s">
        <v>30</v>
      </c>
      <c r="H74" s="159"/>
      <c r="I74" s="160" t="s">
        <v>12</v>
      </c>
      <c r="J74" s="160" t="s">
        <v>36</v>
      </c>
      <c r="K74" s="161" t="s">
        <v>240</v>
      </c>
      <c r="L74" s="162" t="s">
        <v>252</v>
      </c>
      <c r="M74" s="160" t="s">
        <v>239</v>
      </c>
    </row>
    <row r="75">
      <c r="K75" s="163"/>
      <c r="L75" s="163"/>
    </row>
    <row r="76">
      <c r="C76" s="43">
        <v>12.0</v>
      </c>
      <c r="F76" s="43" t="s">
        <v>69</v>
      </c>
      <c r="G76" s="43" t="s">
        <v>183</v>
      </c>
      <c r="H76" s="43" t="s">
        <v>184</v>
      </c>
      <c r="J76" s="43" t="s">
        <v>126</v>
      </c>
      <c r="K76" s="163"/>
      <c r="L76" s="164" t="s">
        <v>127</v>
      </c>
      <c r="S76" s="43" t="s">
        <v>267</v>
      </c>
    </row>
    <row r="77">
      <c r="F77" s="43" t="s">
        <v>231</v>
      </c>
      <c r="G77" s="43" t="s">
        <v>30</v>
      </c>
      <c r="H77" s="63">
        <f t="shared" ref="H77:H82" si="1">COUNTIF($G$2:$G$73, G77)</f>
        <v>6</v>
      </c>
      <c r="J77" s="43" t="s">
        <v>30</v>
      </c>
      <c r="K77" s="165">
        <v>8.0</v>
      </c>
      <c r="L77" s="164" t="s">
        <v>30</v>
      </c>
      <c r="M77" s="63">
        <f t="shared" ref="M77:M84" si="2">COUNTIF($J$2:$J$74, L77)</f>
        <v>5</v>
      </c>
      <c r="S77" s="63">
        <f t="shared" ref="S77:S83" si="3">K77+M77</f>
        <v>13</v>
      </c>
    </row>
    <row r="78">
      <c r="C78" s="43">
        <v>24.0</v>
      </c>
      <c r="F78" s="43" t="s">
        <v>123</v>
      </c>
      <c r="G78" s="43" t="s">
        <v>23</v>
      </c>
      <c r="H78" s="63">
        <f t="shared" si="1"/>
        <v>6</v>
      </c>
      <c r="J78" s="43" t="s">
        <v>23</v>
      </c>
      <c r="K78" s="165">
        <v>3.0</v>
      </c>
      <c r="L78" s="164" t="s">
        <v>23</v>
      </c>
      <c r="M78" s="63">
        <f t="shared" si="2"/>
        <v>8</v>
      </c>
      <c r="S78" s="63">
        <f t="shared" si="3"/>
        <v>11</v>
      </c>
    </row>
    <row r="79">
      <c r="F79" s="43" t="s">
        <v>232</v>
      </c>
      <c r="G79" s="43" t="s">
        <v>36</v>
      </c>
      <c r="H79" s="63">
        <f t="shared" si="1"/>
        <v>5</v>
      </c>
      <c r="J79" s="43" t="s">
        <v>36</v>
      </c>
      <c r="K79" s="165">
        <v>6.0</v>
      </c>
      <c r="L79" s="164" t="s">
        <v>36</v>
      </c>
      <c r="M79" s="63">
        <f t="shared" si="2"/>
        <v>6</v>
      </c>
      <c r="S79" s="63">
        <f t="shared" si="3"/>
        <v>12</v>
      </c>
    </row>
    <row r="80">
      <c r="F80" s="43" t="s">
        <v>228</v>
      </c>
      <c r="G80" s="43" t="s">
        <v>41</v>
      </c>
      <c r="H80" s="63">
        <f t="shared" si="1"/>
        <v>0</v>
      </c>
      <c r="J80" s="43" t="s">
        <v>41</v>
      </c>
      <c r="K80" s="165">
        <v>0.0</v>
      </c>
      <c r="L80" s="164" t="s">
        <v>41</v>
      </c>
      <c r="M80" s="63">
        <f t="shared" si="2"/>
        <v>0</v>
      </c>
      <c r="S80" s="63">
        <f t="shared" si="3"/>
        <v>0</v>
      </c>
    </row>
    <row r="81">
      <c r="C81" s="43">
        <v>21.0</v>
      </c>
      <c r="F81" s="43" t="s">
        <v>233</v>
      </c>
      <c r="G81" s="43" t="s">
        <v>12</v>
      </c>
      <c r="H81" s="63">
        <f t="shared" si="1"/>
        <v>5</v>
      </c>
      <c r="J81" s="43" t="s">
        <v>12</v>
      </c>
      <c r="K81" s="165">
        <v>6.0</v>
      </c>
      <c r="L81" s="164" t="s">
        <v>12</v>
      </c>
      <c r="M81" s="63">
        <f t="shared" si="2"/>
        <v>6</v>
      </c>
      <c r="S81" s="63">
        <f t="shared" si="3"/>
        <v>12</v>
      </c>
    </row>
    <row r="82">
      <c r="F82" s="86" t="s">
        <v>220</v>
      </c>
      <c r="G82" s="43" t="s">
        <v>53</v>
      </c>
      <c r="H82" s="63">
        <f t="shared" si="1"/>
        <v>2</v>
      </c>
      <c r="J82" s="43" t="s">
        <v>53</v>
      </c>
      <c r="K82" s="165">
        <v>0.0</v>
      </c>
      <c r="L82" s="164" t="s">
        <v>53</v>
      </c>
      <c r="M82" s="63">
        <f t="shared" si="2"/>
        <v>0</v>
      </c>
      <c r="S82" s="63">
        <f t="shared" si="3"/>
        <v>0</v>
      </c>
    </row>
    <row r="83">
      <c r="C83" s="43">
        <v>17.0</v>
      </c>
      <c r="F83" s="87" t="s">
        <v>234</v>
      </c>
      <c r="J83" s="43" t="s">
        <v>173</v>
      </c>
      <c r="K83" s="165">
        <v>1.0</v>
      </c>
      <c r="L83" s="164" t="s">
        <v>174</v>
      </c>
      <c r="M83" s="63">
        <f t="shared" si="2"/>
        <v>0</v>
      </c>
      <c r="S83" s="63">
        <f t="shared" si="3"/>
        <v>1</v>
      </c>
    </row>
    <row r="84">
      <c r="F84" s="43" t="s">
        <v>235</v>
      </c>
      <c r="K84" s="163"/>
      <c r="L84" s="163"/>
      <c r="M84" s="63">
        <f t="shared" si="2"/>
        <v>0</v>
      </c>
    </row>
    <row r="85">
      <c r="C85" s="43">
        <v>24.0</v>
      </c>
      <c r="F85" s="43" t="s">
        <v>236</v>
      </c>
      <c r="K85" s="163"/>
      <c r="L85" s="163"/>
    </row>
    <row r="86">
      <c r="F86" s="43" t="s">
        <v>228</v>
      </c>
      <c r="H86" s="63">
        <f>sum(H77:H82)</f>
        <v>24</v>
      </c>
      <c r="K86" s="165">
        <v>24.0</v>
      </c>
      <c r="L86" s="163"/>
      <c r="M86" s="63">
        <f>sum(M77:M83)</f>
        <v>25</v>
      </c>
    </row>
    <row r="87">
      <c r="G87" s="43" t="s">
        <v>7</v>
      </c>
      <c r="K87" s="163"/>
      <c r="L87" s="163"/>
    </row>
    <row r="88">
      <c r="G88" s="43" t="s">
        <v>16</v>
      </c>
      <c r="K88" s="163"/>
      <c r="L88" s="163"/>
    </row>
    <row r="89">
      <c r="G89" s="43" t="s">
        <v>79</v>
      </c>
      <c r="K89" s="163"/>
      <c r="L89" s="163"/>
    </row>
    <row r="90">
      <c r="K90" s="163"/>
      <c r="L90" s="163"/>
    </row>
    <row r="91">
      <c r="K91" s="163"/>
      <c r="L91" s="163"/>
    </row>
    <row r="92">
      <c r="K92" s="163"/>
      <c r="L92" s="163"/>
    </row>
    <row r="93">
      <c r="K93" s="163"/>
      <c r="L93" s="163"/>
    </row>
    <row r="94">
      <c r="K94" s="163"/>
      <c r="L94" s="163"/>
    </row>
    <row r="95">
      <c r="K95" s="163"/>
      <c r="L95" s="163"/>
    </row>
    <row r="96">
      <c r="K96" s="163"/>
      <c r="L96" s="163"/>
    </row>
    <row r="97">
      <c r="K97" s="163"/>
      <c r="L97" s="163"/>
    </row>
    <row r="98">
      <c r="K98" s="163"/>
      <c r="L98" s="163"/>
    </row>
    <row r="99">
      <c r="K99" s="163"/>
      <c r="L99" s="163"/>
    </row>
    <row r="100">
      <c r="K100" s="163"/>
      <c r="L100" s="163"/>
    </row>
    <row r="101">
      <c r="K101" s="163"/>
      <c r="L101" s="163"/>
    </row>
    <row r="102">
      <c r="K102" s="163"/>
      <c r="L102" s="163"/>
    </row>
    <row r="103">
      <c r="K103" s="163"/>
      <c r="L103" s="163"/>
    </row>
    <row r="104">
      <c r="K104" s="163"/>
      <c r="L104" s="163"/>
    </row>
    <row r="105">
      <c r="K105" s="163"/>
      <c r="L105" s="163"/>
    </row>
    <row r="106">
      <c r="K106" s="163"/>
      <c r="L106" s="163"/>
    </row>
    <row r="107">
      <c r="K107" s="163"/>
      <c r="L107" s="163"/>
    </row>
    <row r="108">
      <c r="K108" s="163"/>
      <c r="L108" s="163"/>
    </row>
    <row r="109">
      <c r="K109" s="163"/>
      <c r="L109" s="163"/>
    </row>
    <row r="110">
      <c r="K110" s="163"/>
      <c r="L110" s="163"/>
    </row>
    <row r="111">
      <c r="K111" s="163"/>
      <c r="L111" s="163"/>
    </row>
    <row r="112">
      <c r="K112" s="163"/>
      <c r="L112" s="163"/>
    </row>
    <row r="113">
      <c r="K113" s="163"/>
      <c r="L113" s="163"/>
    </row>
    <row r="114">
      <c r="K114" s="163"/>
      <c r="L114" s="163"/>
    </row>
    <row r="115">
      <c r="K115" s="163"/>
      <c r="L115" s="163"/>
    </row>
    <row r="116">
      <c r="K116" s="163"/>
      <c r="L116" s="163"/>
    </row>
    <row r="117">
      <c r="K117" s="163"/>
      <c r="L117" s="163"/>
    </row>
    <row r="118">
      <c r="K118" s="163"/>
      <c r="L118" s="163"/>
    </row>
    <row r="119">
      <c r="K119" s="163"/>
      <c r="L119" s="163"/>
    </row>
    <row r="120">
      <c r="K120" s="163"/>
      <c r="L120" s="163"/>
    </row>
    <row r="121">
      <c r="K121" s="163"/>
      <c r="L121" s="163"/>
    </row>
    <row r="122">
      <c r="K122" s="163"/>
      <c r="L122" s="163"/>
    </row>
    <row r="123">
      <c r="K123" s="163"/>
      <c r="L123" s="163"/>
    </row>
    <row r="124">
      <c r="K124" s="163"/>
      <c r="L124" s="163"/>
    </row>
    <row r="125">
      <c r="K125" s="163"/>
      <c r="L125" s="163"/>
    </row>
    <row r="126">
      <c r="K126" s="163"/>
      <c r="L126" s="163"/>
    </row>
    <row r="127">
      <c r="K127" s="163"/>
      <c r="L127" s="163"/>
    </row>
    <row r="128">
      <c r="K128" s="163"/>
      <c r="L128" s="163"/>
    </row>
    <row r="129">
      <c r="K129" s="163"/>
      <c r="L129" s="163"/>
    </row>
    <row r="130">
      <c r="K130" s="163"/>
      <c r="L130" s="163"/>
    </row>
    <row r="131">
      <c r="K131" s="163"/>
      <c r="L131" s="163"/>
    </row>
    <row r="132">
      <c r="K132" s="163"/>
      <c r="L132" s="163"/>
    </row>
    <row r="133">
      <c r="K133" s="163"/>
      <c r="L133" s="163"/>
    </row>
    <row r="134">
      <c r="K134" s="163"/>
      <c r="L134" s="163"/>
    </row>
    <row r="135">
      <c r="K135" s="163"/>
      <c r="L135" s="163"/>
    </row>
    <row r="136">
      <c r="K136" s="163"/>
      <c r="L136" s="163"/>
    </row>
    <row r="137">
      <c r="K137" s="163"/>
      <c r="L137" s="163"/>
    </row>
    <row r="138">
      <c r="K138" s="163"/>
      <c r="L138" s="163"/>
    </row>
    <row r="139">
      <c r="K139" s="163"/>
      <c r="L139" s="163"/>
    </row>
    <row r="140">
      <c r="K140" s="163"/>
      <c r="L140" s="163"/>
    </row>
    <row r="141">
      <c r="K141" s="163"/>
      <c r="L141" s="163"/>
    </row>
    <row r="142">
      <c r="K142" s="163"/>
      <c r="L142" s="163"/>
    </row>
    <row r="143">
      <c r="K143" s="163"/>
      <c r="L143" s="163"/>
    </row>
    <row r="144">
      <c r="K144" s="163"/>
      <c r="L144" s="163"/>
    </row>
    <row r="145">
      <c r="K145" s="163"/>
      <c r="L145" s="163"/>
    </row>
    <row r="146">
      <c r="K146" s="163"/>
      <c r="L146" s="163"/>
    </row>
    <row r="147">
      <c r="K147" s="163"/>
      <c r="L147" s="163"/>
    </row>
    <row r="148">
      <c r="K148" s="163"/>
      <c r="L148" s="163"/>
    </row>
    <row r="149">
      <c r="K149" s="163"/>
      <c r="L149" s="163"/>
    </row>
    <row r="150">
      <c r="K150" s="163"/>
      <c r="L150" s="163"/>
    </row>
    <row r="151">
      <c r="K151" s="163"/>
      <c r="L151" s="163"/>
    </row>
    <row r="152">
      <c r="K152" s="163"/>
      <c r="L152" s="163"/>
    </row>
    <row r="153">
      <c r="K153" s="163"/>
      <c r="L153" s="163"/>
    </row>
    <row r="154">
      <c r="K154" s="163"/>
      <c r="L154" s="163"/>
    </row>
    <row r="155">
      <c r="K155" s="163"/>
      <c r="L155" s="163"/>
    </row>
    <row r="156">
      <c r="K156" s="163"/>
      <c r="L156" s="163"/>
    </row>
    <row r="157">
      <c r="K157" s="163"/>
      <c r="L157" s="163"/>
    </row>
    <row r="158">
      <c r="K158" s="163"/>
      <c r="L158" s="163"/>
    </row>
    <row r="159">
      <c r="K159" s="163"/>
      <c r="L159" s="163"/>
    </row>
    <row r="160">
      <c r="K160" s="163"/>
      <c r="L160" s="163"/>
    </row>
    <row r="161">
      <c r="K161" s="163"/>
      <c r="L161" s="163"/>
    </row>
    <row r="162">
      <c r="K162" s="163"/>
      <c r="L162" s="163"/>
    </row>
    <row r="163">
      <c r="K163" s="163"/>
      <c r="L163" s="163"/>
    </row>
    <row r="164">
      <c r="K164" s="163"/>
      <c r="L164" s="163"/>
    </row>
    <row r="165">
      <c r="K165" s="163"/>
      <c r="L165" s="163"/>
    </row>
    <row r="166">
      <c r="K166" s="163"/>
      <c r="L166" s="163"/>
    </row>
    <row r="167">
      <c r="K167" s="163"/>
      <c r="L167" s="163"/>
    </row>
    <row r="168">
      <c r="K168" s="163"/>
      <c r="L168" s="163"/>
    </row>
    <row r="169">
      <c r="K169" s="163"/>
      <c r="L169" s="163"/>
    </row>
    <row r="170">
      <c r="K170" s="163"/>
      <c r="L170" s="163"/>
    </row>
    <row r="171">
      <c r="K171" s="163"/>
      <c r="L171" s="163"/>
    </row>
    <row r="172">
      <c r="K172" s="163"/>
      <c r="L172" s="163"/>
    </row>
    <row r="173">
      <c r="K173" s="163"/>
      <c r="L173" s="163"/>
    </row>
    <row r="174">
      <c r="K174" s="163"/>
      <c r="L174" s="163"/>
    </row>
    <row r="175">
      <c r="K175" s="163"/>
      <c r="L175" s="163"/>
    </row>
    <row r="176">
      <c r="K176" s="163"/>
      <c r="L176" s="163"/>
    </row>
    <row r="177">
      <c r="K177" s="163"/>
      <c r="L177" s="163"/>
    </row>
    <row r="178">
      <c r="K178" s="163"/>
      <c r="L178" s="163"/>
    </row>
    <row r="179">
      <c r="K179" s="163"/>
      <c r="L179" s="163"/>
    </row>
    <row r="180">
      <c r="K180" s="163"/>
      <c r="L180" s="163"/>
    </row>
    <row r="181">
      <c r="K181" s="163"/>
      <c r="L181" s="163"/>
    </row>
    <row r="182">
      <c r="K182" s="163"/>
      <c r="L182" s="163"/>
    </row>
    <row r="183">
      <c r="K183" s="163"/>
      <c r="L183" s="163"/>
    </row>
    <row r="184">
      <c r="K184" s="163"/>
      <c r="L184" s="163"/>
    </row>
    <row r="185">
      <c r="K185" s="163"/>
      <c r="L185" s="163"/>
    </row>
    <row r="186">
      <c r="K186" s="163"/>
      <c r="L186" s="163"/>
    </row>
    <row r="187">
      <c r="K187" s="163"/>
      <c r="L187" s="163"/>
    </row>
    <row r="188">
      <c r="K188" s="163"/>
      <c r="L188" s="163"/>
    </row>
    <row r="189">
      <c r="K189" s="163"/>
      <c r="L189" s="163"/>
    </row>
    <row r="190">
      <c r="K190" s="163"/>
      <c r="L190" s="163"/>
    </row>
    <row r="191">
      <c r="K191" s="163"/>
      <c r="L191" s="163"/>
    </row>
    <row r="192">
      <c r="K192" s="163"/>
      <c r="L192" s="163"/>
    </row>
    <row r="193">
      <c r="K193" s="163"/>
      <c r="L193" s="163"/>
    </row>
    <row r="194">
      <c r="K194" s="163"/>
      <c r="L194" s="163"/>
    </row>
    <row r="195">
      <c r="K195" s="163"/>
      <c r="L195" s="163"/>
    </row>
    <row r="196">
      <c r="K196" s="163"/>
      <c r="L196" s="163"/>
    </row>
    <row r="197">
      <c r="K197" s="163"/>
      <c r="L197" s="163"/>
    </row>
    <row r="198">
      <c r="K198" s="163"/>
      <c r="L198" s="163"/>
    </row>
    <row r="199">
      <c r="K199" s="163"/>
      <c r="L199" s="163"/>
    </row>
    <row r="200">
      <c r="K200" s="163"/>
      <c r="L200" s="163"/>
    </row>
    <row r="201">
      <c r="K201" s="163"/>
      <c r="L201" s="163"/>
    </row>
    <row r="202">
      <c r="K202" s="163"/>
      <c r="L202" s="163"/>
    </row>
    <row r="203">
      <c r="K203" s="163"/>
      <c r="L203" s="163"/>
    </row>
    <row r="204">
      <c r="K204" s="163"/>
      <c r="L204" s="163"/>
    </row>
    <row r="205">
      <c r="K205" s="163"/>
      <c r="L205" s="163"/>
    </row>
    <row r="206">
      <c r="K206" s="163"/>
      <c r="L206" s="163"/>
    </row>
    <row r="207">
      <c r="K207" s="163"/>
      <c r="L207" s="163"/>
    </row>
    <row r="208">
      <c r="K208" s="163"/>
      <c r="L208" s="163"/>
    </row>
    <row r="209">
      <c r="K209" s="163"/>
      <c r="L209" s="163"/>
    </row>
    <row r="210">
      <c r="K210" s="163"/>
      <c r="L210" s="163"/>
    </row>
    <row r="211">
      <c r="K211" s="163"/>
      <c r="L211" s="163"/>
    </row>
    <row r="212">
      <c r="K212" s="163"/>
      <c r="L212" s="163"/>
    </row>
    <row r="213">
      <c r="K213" s="163"/>
      <c r="L213" s="163"/>
    </row>
    <row r="214">
      <c r="K214" s="163"/>
      <c r="L214" s="163"/>
    </row>
    <row r="215">
      <c r="K215" s="163"/>
      <c r="L215" s="163"/>
    </row>
    <row r="216">
      <c r="K216" s="163"/>
      <c r="L216" s="163"/>
    </row>
    <row r="217">
      <c r="K217" s="163"/>
      <c r="L217" s="163"/>
    </row>
    <row r="218">
      <c r="K218" s="163"/>
      <c r="L218" s="163"/>
    </row>
    <row r="219">
      <c r="K219" s="163"/>
      <c r="L219" s="163"/>
    </row>
    <row r="220">
      <c r="K220" s="163"/>
      <c r="L220" s="163"/>
    </row>
    <row r="221">
      <c r="K221" s="163"/>
      <c r="L221" s="163"/>
    </row>
    <row r="222">
      <c r="K222" s="163"/>
      <c r="L222" s="163"/>
    </row>
    <row r="223">
      <c r="K223" s="163"/>
      <c r="L223" s="163"/>
    </row>
    <row r="224">
      <c r="K224" s="163"/>
      <c r="L224" s="163"/>
    </row>
    <row r="225">
      <c r="K225" s="163"/>
      <c r="L225" s="163"/>
    </row>
    <row r="226">
      <c r="K226" s="163"/>
      <c r="L226" s="163"/>
    </row>
    <row r="227">
      <c r="K227" s="163"/>
      <c r="L227" s="163"/>
    </row>
    <row r="228">
      <c r="K228" s="163"/>
      <c r="L228" s="163"/>
    </row>
    <row r="229">
      <c r="K229" s="163"/>
      <c r="L229" s="163"/>
    </row>
    <row r="230">
      <c r="K230" s="163"/>
      <c r="L230" s="163"/>
    </row>
    <row r="231">
      <c r="K231" s="163"/>
      <c r="L231" s="163"/>
    </row>
    <row r="232">
      <c r="K232" s="163"/>
      <c r="L232" s="163"/>
    </row>
    <row r="233">
      <c r="K233" s="163"/>
      <c r="L233" s="163"/>
    </row>
    <row r="234">
      <c r="K234" s="163"/>
      <c r="L234" s="163"/>
    </row>
    <row r="235">
      <c r="K235" s="163"/>
      <c r="L235" s="163"/>
    </row>
    <row r="236">
      <c r="K236" s="163"/>
      <c r="L236" s="163"/>
    </row>
    <row r="237">
      <c r="K237" s="163"/>
      <c r="L237" s="163"/>
    </row>
    <row r="238">
      <c r="K238" s="163"/>
      <c r="L238" s="163"/>
    </row>
    <row r="239">
      <c r="K239" s="163"/>
      <c r="L239" s="163"/>
    </row>
    <row r="240">
      <c r="K240" s="163"/>
      <c r="L240" s="163"/>
    </row>
    <row r="241">
      <c r="K241" s="163"/>
      <c r="L241" s="163"/>
    </row>
    <row r="242">
      <c r="K242" s="163"/>
      <c r="L242" s="163"/>
    </row>
    <row r="243">
      <c r="K243" s="163"/>
      <c r="L243" s="163"/>
    </row>
    <row r="244">
      <c r="K244" s="163"/>
      <c r="L244" s="163"/>
    </row>
    <row r="245">
      <c r="K245" s="163"/>
      <c r="L245" s="163"/>
    </row>
    <row r="246">
      <c r="K246" s="163"/>
      <c r="L246" s="163"/>
    </row>
    <row r="247">
      <c r="K247" s="163"/>
      <c r="L247" s="163"/>
    </row>
    <row r="248">
      <c r="K248" s="163"/>
      <c r="L248" s="163"/>
    </row>
    <row r="249">
      <c r="K249" s="163"/>
      <c r="L249" s="163"/>
    </row>
    <row r="250">
      <c r="K250" s="163"/>
      <c r="L250" s="163"/>
    </row>
    <row r="251">
      <c r="K251" s="163"/>
      <c r="L251" s="163"/>
    </row>
    <row r="252">
      <c r="K252" s="163"/>
      <c r="L252" s="163"/>
    </row>
    <row r="253">
      <c r="K253" s="163"/>
      <c r="L253" s="163"/>
    </row>
    <row r="254">
      <c r="K254" s="163"/>
      <c r="L254" s="163"/>
    </row>
    <row r="255">
      <c r="K255" s="163"/>
      <c r="L255" s="163"/>
    </row>
    <row r="256">
      <c r="K256" s="163"/>
      <c r="L256" s="163"/>
    </row>
    <row r="257">
      <c r="K257" s="163"/>
      <c r="L257" s="163"/>
    </row>
    <row r="258">
      <c r="K258" s="163"/>
      <c r="L258" s="163"/>
    </row>
    <row r="259">
      <c r="K259" s="163"/>
      <c r="L259" s="163"/>
    </row>
    <row r="260">
      <c r="K260" s="163"/>
      <c r="L260" s="163"/>
    </row>
    <row r="261">
      <c r="K261" s="163"/>
      <c r="L261" s="163"/>
    </row>
    <row r="262">
      <c r="K262" s="163"/>
      <c r="L262" s="163"/>
    </row>
    <row r="263">
      <c r="K263" s="163"/>
      <c r="L263" s="163"/>
    </row>
    <row r="264">
      <c r="K264" s="163"/>
      <c r="L264" s="163"/>
    </row>
    <row r="265">
      <c r="K265" s="163"/>
      <c r="L265" s="163"/>
    </row>
    <row r="266">
      <c r="K266" s="163"/>
      <c r="L266" s="163"/>
    </row>
    <row r="267">
      <c r="K267" s="163"/>
      <c r="L267" s="163"/>
    </row>
    <row r="268">
      <c r="K268" s="163"/>
      <c r="L268" s="163"/>
    </row>
    <row r="269">
      <c r="K269" s="163"/>
      <c r="L269" s="163"/>
    </row>
    <row r="270">
      <c r="K270" s="163"/>
      <c r="L270" s="163"/>
    </row>
    <row r="271">
      <c r="K271" s="163"/>
      <c r="L271" s="163"/>
    </row>
    <row r="272">
      <c r="K272" s="163"/>
      <c r="L272" s="163"/>
    </row>
    <row r="273">
      <c r="K273" s="163"/>
      <c r="L273" s="163"/>
    </row>
    <row r="274">
      <c r="K274" s="163"/>
      <c r="L274" s="163"/>
    </row>
    <row r="275">
      <c r="K275" s="163"/>
      <c r="L275" s="163"/>
    </row>
    <row r="276">
      <c r="K276" s="163"/>
      <c r="L276" s="163"/>
    </row>
    <row r="277">
      <c r="K277" s="163"/>
      <c r="L277" s="163"/>
    </row>
    <row r="278">
      <c r="K278" s="163"/>
      <c r="L278" s="163"/>
    </row>
    <row r="279">
      <c r="K279" s="163"/>
      <c r="L279" s="163"/>
    </row>
    <row r="280">
      <c r="K280" s="163"/>
      <c r="L280" s="163"/>
    </row>
    <row r="281">
      <c r="K281" s="163"/>
      <c r="L281" s="163"/>
    </row>
    <row r="282">
      <c r="K282" s="163"/>
      <c r="L282" s="163"/>
    </row>
    <row r="283">
      <c r="K283" s="163"/>
      <c r="L283" s="163"/>
    </row>
    <row r="284">
      <c r="K284" s="163"/>
      <c r="L284" s="163"/>
    </row>
    <row r="285">
      <c r="K285" s="163"/>
      <c r="L285" s="163"/>
    </row>
    <row r="286">
      <c r="K286" s="163"/>
      <c r="L286" s="163"/>
    </row>
    <row r="287">
      <c r="K287" s="163"/>
      <c r="L287" s="163"/>
    </row>
    <row r="288">
      <c r="K288" s="163"/>
      <c r="L288" s="163"/>
    </row>
    <row r="289">
      <c r="K289" s="163"/>
      <c r="L289" s="163"/>
    </row>
    <row r="290">
      <c r="K290" s="163"/>
      <c r="L290" s="163"/>
    </row>
    <row r="291">
      <c r="K291" s="163"/>
      <c r="L291" s="163"/>
    </row>
    <row r="292">
      <c r="K292" s="163"/>
      <c r="L292" s="163"/>
    </row>
    <row r="293">
      <c r="K293" s="163"/>
      <c r="L293" s="163"/>
    </row>
    <row r="294">
      <c r="K294" s="163"/>
      <c r="L294" s="163"/>
    </row>
    <row r="295">
      <c r="K295" s="163"/>
      <c r="L295" s="163"/>
    </row>
    <row r="296">
      <c r="K296" s="163"/>
      <c r="L296" s="163"/>
    </row>
    <row r="297">
      <c r="K297" s="163"/>
      <c r="L297" s="163"/>
    </row>
    <row r="298">
      <c r="K298" s="163"/>
      <c r="L298" s="163"/>
    </row>
    <row r="299">
      <c r="K299" s="163"/>
      <c r="L299" s="163"/>
    </row>
    <row r="300">
      <c r="K300" s="163"/>
      <c r="L300" s="163"/>
    </row>
    <row r="301">
      <c r="K301" s="163"/>
      <c r="L301" s="163"/>
    </row>
    <row r="302">
      <c r="K302" s="163"/>
      <c r="L302" s="163"/>
    </row>
    <row r="303">
      <c r="K303" s="163"/>
      <c r="L303" s="163"/>
    </row>
    <row r="304">
      <c r="K304" s="163"/>
      <c r="L304" s="163"/>
    </row>
    <row r="305">
      <c r="K305" s="163"/>
      <c r="L305" s="163"/>
    </row>
    <row r="306">
      <c r="K306" s="163"/>
      <c r="L306" s="163"/>
    </row>
    <row r="307">
      <c r="K307" s="163"/>
      <c r="L307" s="163"/>
    </row>
    <row r="308">
      <c r="K308" s="163"/>
      <c r="L308" s="163"/>
    </row>
    <row r="309">
      <c r="K309" s="163"/>
      <c r="L309" s="163"/>
    </row>
    <row r="310">
      <c r="K310" s="163"/>
      <c r="L310" s="163"/>
    </row>
    <row r="311">
      <c r="K311" s="163"/>
      <c r="L311" s="163"/>
    </row>
    <row r="312">
      <c r="K312" s="163"/>
      <c r="L312" s="163"/>
    </row>
    <row r="313">
      <c r="K313" s="163"/>
      <c r="L313" s="163"/>
    </row>
    <row r="314">
      <c r="K314" s="163"/>
      <c r="L314" s="163"/>
    </row>
    <row r="315">
      <c r="K315" s="163"/>
      <c r="L315" s="163"/>
    </row>
    <row r="316">
      <c r="K316" s="163"/>
      <c r="L316" s="163"/>
    </row>
    <row r="317">
      <c r="K317" s="163"/>
      <c r="L317" s="163"/>
    </row>
    <row r="318">
      <c r="K318" s="163"/>
      <c r="L318" s="163"/>
    </row>
    <row r="319">
      <c r="K319" s="163"/>
      <c r="L319" s="163"/>
    </row>
    <row r="320">
      <c r="K320" s="163"/>
      <c r="L320" s="163"/>
    </row>
    <row r="321">
      <c r="K321" s="163"/>
      <c r="L321" s="163"/>
    </row>
    <row r="322">
      <c r="K322" s="163"/>
      <c r="L322" s="163"/>
    </row>
    <row r="323">
      <c r="K323" s="163"/>
      <c r="L323" s="163"/>
    </row>
    <row r="324">
      <c r="K324" s="163"/>
      <c r="L324" s="163"/>
    </row>
    <row r="325">
      <c r="K325" s="163"/>
      <c r="L325" s="163"/>
    </row>
    <row r="326">
      <c r="K326" s="163"/>
      <c r="L326" s="163"/>
    </row>
    <row r="327">
      <c r="K327" s="163"/>
      <c r="L327" s="163"/>
    </row>
    <row r="328">
      <c r="K328" s="163"/>
      <c r="L328" s="163"/>
    </row>
    <row r="329">
      <c r="K329" s="163"/>
      <c r="L329" s="163"/>
    </row>
    <row r="330">
      <c r="K330" s="163"/>
      <c r="L330" s="163"/>
    </row>
    <row r="331">
      <c r="K331" s="163"/>
      <c r="L331" s="163"/>
    </row>
    <row r="332">
      <c r="K332" s="163"/>
      <c r="L332" s="163"/>
    </row>
    <row r="333">
      <c r="K333" s="163"/>
      <c r="L333" s="163"/>
    </row>
    <row r="334">
      <c r="K334" s="163"/>
      <c r="L334" s="163"/>
    </row>
    <row r="335">
      <c r="K335" s="163"/>
      <c r="L335" s="163"/>
    </row>
    <row r="336">
      <c r="K336" s="163"/>
      <c r="L336" s="163"/>
    </row>
    <row r="337">
      <c r="K337" s="163"/>
      <c r="L337" s="163"/>
    </row>
    <row r="338">
      <c r="K338" s="163"/>
      <c r="L338" s="163"/>
    </row>
    <row r="339">
      <c r="K339" s="163"/>
      <c r="L339" s="163"/>
    </row>
    <row r="340">
      <c r="K340" s="163"/>
      <c r="L340" s="163"/>
    </row>
    <row r="341">
      <c r="K341" s="163"/>
      <c r="L341" s="163"/>
    </row>
    <row r="342">
      <c r="K342" s="163"/>
      <c r="L342" s="163"/>
    </row>
    <row r="343">
      <c r="K343" s="163"/>
      <c r="L343" s="163"/>
    </row>
    <row r="344">
      <c r="K344" s="163"/>
      <c r="L344" s="163"/>
    </row>
    <row r="345">
      <c r="K345" s="163"/>
      <c r="L345" s="163"/>
    </row>
    <row r="346">
      <c r="K346" s="163"/>
      <c r="L346" s="163"/>
    </row>
    <row r="347">
      <c r="K347" s="163"/>
      <c r="L347" s="163"/>
    </row>
    <row r="348">
      <c r="K348" s="163"/>
      <c r="L348" s="163"/>
    </row>
    <row r="349">
      <c r="K349" s="163"/>
      <c r="L349" s="163"/>
    </row>
    <row r="350">
      <c r="K350" s="163"/>
      <c r="L350" s="163"/>
    </row>
    <row r="351">
      <c r="K351" s="163"/>
      <c r="L351" s="163"/>
    </row>
    <row r="352">
      <c r="K352" s="163"/>
      <c r="L352" s="163"/>
    </row>
    <row r="353">
      <c r="K353" s="163"/>
      <c r="L353" s="163"/>
    </row>
    <row r="354">
      <c r="K354" s="163"/>
      <c r="L354" s="163"/>
    </row>
    <row r="355">
      <c r="K355" s="163"/>
      <c r="L355" s="163"/>
    </row>
    <row r="356">
      <c r="K356" s="163"/>
      <c r="L356" s="163"/>
    </row>
    <row r="357">
      <c r="K357" s="163"/>
      <c r="L357" s="163"/>
    </row>
    <row r="358">
      <c r="K358" s="163"/>
      <c r="L358" s="163"/>
    </row>
    <row r="359">
      <c r="K359" s="163"/>
      <c r="L359" s="163"/>
    </row>
    <row r="360">
      <c r="K360" s="163"/>
      <c r="L360" s="163"/>
    </row>
    <row r="361">
      <c r="K361" s="163"/>
      <c r="L361" s="163"/>
    </row>
    <row r="362">
      <c r="K362" s="163"/>
      <c r="L362" s="163"/>
    </row>
    <row r="363">
      <c r="K363" s="163"/>
      <c r="L363" s="163"/>
    </row>
    <row r="364">
      <c r="K364" s="163"/>
      <c r="L364" s="163"/>
    </row>
    <row r="365">
      <c r="K365" s="163"/>
      <c r="L365" s="163"/>
    </row>
    <row r="366">
      <c r="K366" s="163"/>
      <c r="L366" s="163"/>
    </row>
    <row r="367">
      <c r="K367" s="163"/>
      <c r="L367" s="163"/>
    </row>
    <row r="368">
      <c r="K368" s="163"/>
      <c r="L368" s="163"/>
    </row>
    <row r="369">
      <c r="K369" s="163"/>
      <c r="L369" s="163"/>
    </row>
    <row r="370">
      <c r="K370" s="163"/>
      <c r="L370" s="163"/>
    </row>
    <row r="371">
      <c r="K371" s="163"/>
      <c r="L371" s="163"/>
    </row>
    <row r="372">
      <c r="K372" s="163"/>
      <c r="L372" s="163"/>
    </row>
    <row r="373">
      <c r="K373" s="163"/>
      <c r="L373" s="163"/>
    </row>
    <row r="374">
      <c r="K374" s="163"/>
      <c r="L374" s="163"/>
    </row>
    <row r="375">
      <c r="K375" s="163"/>
      <c r="L375" s="163"/>
    </row>
    <row r="376">
      <c r="K376" s="163"/>
      <c r="L376" s="163"/>
    </row>
    <row r="377">
      <c r="K377" s="163"/>
      <c r="L377" s="163"/>
    </row>
    <row r="378">
      <c r="K378" s="163"/>
      <c r="L378" s="163"/>
    </row>
    <row r="379">
      <c r="K379" s="163"/>
      <c r="L379" s="163"/>
    </row>
    <row r="380">
      <c r="K380" s="163"/>
      <c r="L380" s="163"/>
    </row>
    <row r="381">
      <c r="K381" s="163"/>
      <c r="L381" s="163"/>
    </row>
    <row r="382">
      <c r="K382" s="163"/>
      <c r="L382" s="163"/>
    </row>
    <row r="383">
      <c r="K383" s="163"/>
      <c r="L383" s="163"/>
    </row>
    <row r="384">
      <c r="K384" s="163"/>
      <c r="L384" s="163"/>
    </row>
    <row r="385">
      <c r="K385" s="163"/>
      <c r="L385" s="163"/>
    </row>
    <row r="386">
      <c r="K386" s="163"/>
      <c r="L386" s="163"/>
    </row>
    <row r="387">
      <c r="K387" s="163"/>
      <c r="L387" s="163"/>
    </row>
    <row r="388">
      <c r="K388" s="163"/>
      <c r="L388" s="163"/>
    </row>
    <row r="389">
      <c r="K389" s="163"/>
      <c r="L389" s="163"/>
    </row>
    <row r="390">
      <c r="K390" s="163"/>
      <c r="L390" s="163"/>
    </row>
    <row r="391">
      <c r="K391" s="163"/>
      <c r="L391" s="163"/>
    </row>
    <row r="392">
      <c r="K392" s="163"/>
      <c r="L392" s="163"/>
    </row>
    <row r="393">
      <c r="K393" s="163"/>
      <c r="L393" s="163"/>
    </row>
    <row r="394">
      <c r="K394" s="163"/>
      <c r="L394" s="163"/>
    </row>
    <row r="395">
      <c r="K395" s="163"/>
      <c r="L395" s="163"/>
    </row>
    <row r="396">
      <c r="K396" s="163"/>
      <c r="L396" s="163"/>
    </row>
    <row r="397">
      <c r="K397" s="163"/>
      <c r="L397" s="163"/>
    </row>
    <row r="398">
      <c r="K398" s="163"/>
      <c r="L398" s="163"/>
    </row>
    <row r="399">
      <c r="K399" s="163"/>
      <c r="L399" s="163"/>
    </row>
    <row r="400">
      <c r="K400" s="163"/>
      <c r="L400" s="163"/>
    </row>
    <row r="401">
      <c r="K401" s="163"/>
      <c r="L401" s="163"/>
    </row>
    <row r="402">
      <c r="K402" s="163"/>
      <c r="L402" s="163"/>
    </row>
    <row r="403">
      <c r="K403" s="163"/>
      <c r="L403" s="163"/>
    </row>
    <row r="404">
      <c r="K404" s="163"/>
      <c r="L404" s="163"/>
    </row>
    <row r="405">
      <c r="K405" s="163"/>
      <c r="L405" s="163"/>
    </row>
    <row r="406">
      <c r="K406" s="163"/>
      <c r="L406" s="163"/>
    </row>
    <row r="407">
      <c r="K407" s="163"/>
      <c r="L407" s="163"/>
    </row>
    <row r="408">
      <c r="K408" s="163"/>
      <c r="L408" s="163"/>
    </row>
    <row r="409">
      <c r="K409" s="163"/>
      <c r="L409" s="163"/>
    </row>
    <row r="410">
      <c r="K410" s="163"/>
      <c r="L410" s="163"/>
    </row>
    <row r="411">
      <c r="K411" s="163"/>
      <c r="L411" s="163"/>
    </row>
    <row r="412">
      <c r="K412" s="163"/>
      <c r="L412" s="163"/>
    </row>
    <row r="413">
      <c r="K413" s="163"/>
      <c r="L413" s="163"/>
    </row>
    <row r="414">
      <c r="K414" s="163"/>
      <c r="L414" s="163"/>
    </row>
    <row r="415">
      <c r="K415" s="163"/>
      <c r="L415" s="163"/>
    </row>
    <row r="416">
      <c r="K416" s="163"/>
      <c r="L416" s="163"/>
    </row>
    <row r="417">
      <c r="K417" s="163"/>
      <c r="L417" s="163"/>
    </row>
    <row r="418">
      <c r="K418" s="163"/>
      <c r="L418" s="163"/>
    </row>
    <row r="419">
      <c r="K419" s="163"/>
      <c r="L419" s="163"/>
    </row>
    <row r="420">
      <c r="K420" s="163"/>
      <c r="L420" s="163"/>
    </row>
    <row r="421">
      <c r="K421" s="163"/>
      <c r="L421" s="163"/>
    </row>
    <row r="422">
      <c r="K422" s="163"/>
      <c r="L422" s="163"/>
    </row>
    <row r="423">
      <c r="K423" s="163"/>
      <c r="L423" s="163"/>
    </row>
    <row r="424">
      <c r="K424" s="163"/>
      <c r="L424" s="163"/>
    </row>
    <row r="425">
      <c r="K425" s="163"/>
      <c r="L425" s="163"/>
    </row>
    <row r="426">
      <c r="K426" s="163"/>
      <c r="L426" s="163"/>
    </row>
    <row r="427">
      <c r="K427" s="163"/>
      <c r="L427" s="163"/>
    </row>
    <row r="428">
      <c r="K428" s="163"/>
      <c r="L428" s="163"/>
    </row>
    <row r="429">
      <c r="K429" s="163"/>
      <c r="L429" s="163"/>
    </row>
    <row r="430">
      <c r="K430" s="163"/>
      <c r="L430" s="163"/>
    </row>
    <row r="431">
      <c r="K431" s="163"/>
      <c r="L431" s="163"/>
    </row>
    <row r="432">
      <c r="K432" s="163"/>
      <c r="L432" s="163"/>
    </row>
    <row r="433">
      <c r="K433" s="163"/>
      <c r="L433" s="163"/>
    </row>
    <row r="434">
      <c r="K434" s="163"/>
      <c r="L434" s="163"/>
    </row>
    <row r="435">
      <c r="K435" s="163"/>
      <c r="L435" s="163"/>
    </row>
    <row r="436">
      <c r="K436" s="163"/>
      <c r="L436" s="163"/>
    </row>
    <row r="437">
      <c r="K437" s="163"/>
      <c r="L437" s="163"/>
    </row>
    <row r="438">
      <c r="K438" s="163"/>
      <c r="L438" s="163"/>
    </row>
    <row r="439">
      <c r="K439" s="163"/>
      <c r="L439" s="163"/>
    </row>
    <row r="440">
      <c r="K440" s="163"/>
      <c r="L440" s="163"/>
    </row>
    <row r="441">
      <c r="K441" s="163"/>
      <c r="L441" s="163"/>
    </row>
    <row r="442">
      <c r="K442" s="163"/>
      <c r="L442" s="163"/>
    </row>
    <row r="443">
      <c r="K443" s="163"/>
      <c r="L443" s="163"/>
    </row>
    <row r="444">
      <c r="K444" s="163"/>
      <c r="L444" s="163"/>
    </row>
    <row r="445">
      <c r="K445" s="163"/>
      <c r="L445" s="163"/>
    </row>
    <row r="446">
      <c r="K446" s="163"/>
      <c r="L446" s="163"/>
    </row>
    <row r="447">
      <c r="K447" s="163"/>
      <c r="L447" s="163"/>
    </row>
    <row r="448">
      <c r="K448" s="163"/>
      <c r="L448" s="163"/>
    </row>
    <row r="449">
      <c r="K449" s="163"/>
      <c r="L449" s="163"/>
    </row>
    <row r="450">
      <c r="K450" s="163"/>
      <c r="L450" s="163"/>
    </row>
    <row r="451">
      <c r="K451" s="163"/>
      <c r="L451" s="163"/>
    </row>
    <row r="452">
      <c r="K452" s="163"/>
      <c r="L452" s="163"/>
    </row>
    <row r="453">
      <c r="K453" s="163"/>
      <c r="L453" s="163"/>
    </row>
    <row r="454">
      <c r="K454" s="163"/>
      <c r="L454" s="163"/>
    </row>
    <row r="455">
      <c r="K455" s="163"/>
      <c r="L455" s="163"/>
    </row>
    <row r="456">
      <c r="K456" s="163"/>
      <c r="L456" s="163"/>
    </row>
    <row r="457">
      <c r="K457" s="163"/>
      <c r="L457" s="163"/>
    </row>
    <row r="458">
      <c r="K458" s="163"/>
      <c r="L458" s="163"/>
    </row>
    <row r="459">
      <c r="K459" s="163"/>
      <c r="L459" s="163"/>
    </row>
    <row r="460">
      <c r="K460" s="163"/>
      <c r="L460" s="163"/>
    </row>
    <row r="461">
      <c r="K461" s="163"/>
      <c r="L461" s="163"/>
    </row>
    <row r="462">
      <c r="K462" s="163"/>
      <c r="L462" s="163"/>
    </row>
    <row r="463">
      <c r="K463" s="163"/>
      <c r="L463" s="163"/>
    </row>
    <row r="464">
      <c r="K464" s="163"/>
      <c r="L464" s="163"/>
    </row>
    <row r="465">
      <c r="K465" s="163"/>
      <c r="L465" s="163"/>
    </row>
    <row r="466">
      <c r="K466" s="163"/>
      <c r="L466" s="163"/>
    </row>
    <row r="467">
      <c r="K467" s="163"/>
      <c r="L467" s="163"/>
    </row>
    <row r="468">
      <c r="K468" s="163"/>
      <c r="L468" s="163"/>
    </row>
    <row r="469">
      <c r="K469" s="163"/>
      <c r="L469" s="163"/>
    </row>
    <row r="470">
      <c r="K470" s="163"/>
      <c r="L470" s="163"/>
    </row>
    <row r="471">
      <c r="K471" s="163"/>
      <c r="L471" s="163"/>
    </row>
    <row r="472">
      <c r="K472" s="163"/>
      <c r="L472" s="163"/>
    </row>
    <row r="473">
      <c r="K473" s="163"/>
      <c r="L473" s="163"/>
    </row>
    <row r="474">
      <c r="K474" s="163"/>
      <c r="L474" s="163"/>
    </row>
    <row r="475">
      <c r="K475" s="163"/>
      <c r="L475" s="163"/>
    </row>
    <row r="476">
      <c r="K476" s="163"/>
      <c r="L476" s="163"/>
    </row>
    <row r="477">
      <c r="K477" s="163"/>
      <c r="L477" s="163"/>
    </row>
    <row r="478">
      <c r="K478" s="163"/>
      <c r="L478" s="163"/>
    </row>
    <row r="479">
      <c r="K479" s="163"/>
      <c r="L479" s="163"/>
    </row>
    <row r="480">
      <c r="K480" s="163"/>
      <c r="L480" s="163"/>
    </row>
    <row r="481">
      <c r="K481" s="163"/>
      <c r="L481" s="163"/>
    </row>
    <row r="482">
      <c r="K482" s="163"/>
      <c r="L482" s="163"/>
    </row>
    <row r="483">
      <c r="K483" s="163"/>
      <c r="L483" s="163"/>
    </row>
    <row r="484">
      <c r="K484" s="163"/>
      <c r="L484" s="163"/>
    </row>
    <row r="485">
      <c r="K485" s="163"/>
      <c r="L485" s="163"/>
    </row>
    <row r="486">
      <c r="K486" s="163"/>
      <c r="L486" s="163"/>
    </row>
    <row r="487">
      <c r="K487" s="163"/>
      <c r="L487" s="163"/>
    </row>
    <row r="488">
      <c r="K488" s="163"/>
      <c r="L488" s="163"/>
    </row>
    <row r="489">
      <c r="K489" s="163"/>
      <c r="L489" s="163"/>
    </row>
    <row r="490">
      <c r="K490" s="163"/>
      <c r="L490" s="163"/>
    </row>
    <row r="491">
      <c r="K491" s="163"/>
      <c r="L491" s="163"/>
    </row>
    <row r="492">
      <c r="K492" s="163"/>
      <c r="L492" s="163"/>
    </row>
    <row r="493">
      <c r="K493" s="163"/>
      <c r="L493" s="163"/>
    </row>
    <row r="494">
      <c r="K494" s="163"/>
      <c r="L494" s="163"/>
    </row>
    <row r="495">
      <c r="K495" s="163"/>
      <c r="L495" s="163"/>
    </row>
    <row r="496">
      <c r="K496" s="163"/>
      <c r="L496" s="163"/>
    </row>
    <row r="497">
      <c r="K497" s="163"/>
      <c r="L497" s="163"/>
    </row>
    <row r="498">
      <c r="K498" s="163"/>
      <c r="L498" s="163"/>
    </row>
    <row r="499">
      <c r="K499" s="163"/>
      <c r="L499" s="163"/>
    </row>
    <row r="500">
      <c r="K500" s="163"/>
      <c r="L500" s="163"/>
    </row>
    <row r="501">
      <c r="K501" s="163"/>
      <c r="L501" s="163"/>
    </row>
    <row r="502">
      <c r="K502" s="163"/>
      <c r="L502" s="163"/>
    </row>
    <row r="503">
      <c r="K503" s="163"/>
      <c r="L503" s="163"/>
    </row>
    <row r="504">
      <c r="K504" s="163"/>
      <c r="L504" s="163"/>
    </row>
    <row r="505">
      <c r="K505" s="163"/>
      <c r="L505" s="163"/>
    </row>
    <row r="506">
      <c r="K506" s="163"/>
      <c r="L506" s="163"/>
    </row>
    <row r="507">
      <c r="K507" s="163"/>
      <c r="L507" s="163"/>
    </row>
    <row r="508">
      <c r="K508" s="163"/>
      <c r="L508" s="163"/>
    </row>
    <row r="509">
      <c r="K509" s="163"/>
      <c r="L509" s="163"/>
    </row>
    <row r="510">
      <c r="K510" s="163"/>
      <c r="L510" s="163"/>
    </row>
    <row r="511">
      <c r="K511" s="163"/>
      <c r="L511" s="163"/>
    </row>
    <row r="512">
      <c r="K512" s="163"/>
      <c r="L512" s="163"/>
    </row>
    <row r="513">
      <c r="K513" s="163"/>
      <c r="L513" s="163"/>
    </row>
    <row r="514">
      <c r="K514" s="163"/>
      <c r="L514" s="163"/>
    </row>
    <row r="515">
      <c r="K515" s="163"/>
      <c r="L515" s="163"/>
    </row>
    <row r="516">
      <c r="K516" s="163"/>
      <c r="L516" s="163"/>
    </row>
    <row r="517">
      <c r="K517" s="163"/>
      <c r="L517" s="163"/>
    </row>
    <row r="518">
      <c r="K518" s="163"/>
      <c r="L518" s="163"/>
    </row>
    <row r="519">
      <c r="K519" s="163"/>
      <c r="L519" s="163"/>
    </row>
    <row r="520">
      <c r="K520" s="163"/>
      <c r="L520" s="163"/>
    </row>
    <row r="521">
      <c r="K521" s="163"/>
      <c r="L521" s="163"/>
    </row>
    <row r="522">
      <c r="K522" s="163"/>
      <c r="L522" s="163"/>
    </row>
    <row r="523">
      <c r="K523" s="163"/>
      <c r="L523" s="163"/>
    </row>
    <row r="524">
      <c r="K524" s="163"/>
      <c r="L524" s="163"/>
    </row>
    <row r="525">
      <c r="K525" s="163"/>
      <c r="L525" s="163"/>
    </row>
    <row r="526">
      <c r="K526" s="163"/>
      <c r="L526" s="163"/>
    </row>
    <row r="527">
      <c r="K527" s="163"/>
      <c r="L527" s="163"/>
    </row>
    <row r="528">
      <c r="K528" s="163"/>
      <c r="L528" s="163"/>
    </row>
    <row r="529">
      <c r="K529" s="163"/>
      <c r="L529" s="163"/>
    </row>
    <row r="530">
      <c r="K530" s="163"/>
      <c r="L530" s="163"/>
    </row>
    <row r="531">
      <c r="K531" s="163"/>
      <c r="L531" s="163"/>
    </row>
    <row r="532">
      <c r="K532" s="163"/>
      <c r="L532" s="163"/>
    </row>
    <row r="533">
      <c r="K533" s="163"/>
      <c r="L533" s="163"/>
    </row>
    <row r="534">
      <c r="K534" s="163"/>
      <c r="L534" s="163"/>
    </row>
    <row r="535">
      <c r="K535" s="163"/>
      <c r="L535" s="163"/>
    </row>
    <row r="536">
      <c r="K536" s="163"/>
      <c r="L536" s="163"/>
    </row>
    <row r="537">
      <c r="K537" s="163"/>
      <c r="L537" s="163"/>
    </row>
    <row r="538">
      <c r="K538" s="163"/>
      <c r="L538" s="163"/>
    </row>
    <row r="539">
      <c r="K539" s="163"/>
      <c r="L539" s="163"/>
    </row>
    <row r="540">
      <c r="K540" s="163"/>
      <c r="L540" s="163"/>
    </row>
    <row r="541">
      <c r="K541" s="163"/>
      <c r="L541" s="163"/>
    </row>
    <row r="542">
      <c r="K542" s="163"/>
      <c r="L542" s="163"/>
    </row>
    <row r="543">
      <c r="K543" s="163"/>
      <c r="L543" s="163"/>
    </row>
    <row r="544">
      <c r="K544" s="163"/>
      <c r="L544" s="163"/>
    </row>
    <row r="545">
      <c r="K545" s="163"/>
      <c r="L545" s="163"/>
    </row>
    <row r="546">
      <c r="K546" s="163"/>
      <c r="L546" s="163"/>
    </row>
    <row r="547">
      <c r="K547" s="163"/>
      <c r="L547" s="163"/>
    </row>
    <row r="548">
      <c r="K548" s="163"/>
      <c r="L548" s="163"/>
    </row>
    <row r="549">
      <c r="K549" s="163"/>
      <c r="L549" s="163"/>
    </row>
    <row r="550">
      <c r="K550" s="163"/>
      <c r="L550" s="163"/>
    </row>
    <row r="551">
      <c r="K551" s="163"/>
      <c r="L551" s="163"/>
    </row>
    <row r="552">
      <c r="K552" s="163"/>
      <c r="L552" s="163"/>
    </row>
    <row r="553">
      <c r="K553" s="163"/>
      <c r="L553" s="163"/>
    </row>
    <row r="554">
      <c r="K554" s="163"/>
      <c r="L554" s="163"/>
    </row>
    <row r="555">
      <c r="K555" s="163"/>
      <c r="L555" s="163"/>
    </row>
    <row r="556">
      <c r="K556" s="163"/>
      <c r="L556" s="163"/>
    </row>
    <row r="557">
      <c r="K557" s="163"/>
      <c r="L557" s="163"/>
    </row>
    <row r="558">
      <c r="K558" s="163"/>
      <c r="L558" s="163"/>
    </row>
    <row r="559">
      <c r="K559" s="163"/>
      <c r="L559" s="163"/>
    </row>
    <row r="560">
      <c r="K560" s="163"/>
      <c r="L560" s="163"/>
    </row>
    <row r="561">
      <c r="K561" s="163"/>
      <c r="L561" s="163"/>
    </row>
    <row r="562">
      <c r="K562" s="163"/>
      <c r="L562" s="163"/>
    </row>
    <row r="563">
      <c r="K563" s="163"/>
      <c r="L563" s="163"/>
    </row>
    <row r="564">
      <c r="K564" s="163"/>
      <c r="L564" s="163"/>
    </row>
    <row r="565">
      <c r="K565" s="163"/>
      <c r="L565" s="163"/>
    </row>
    <row r="566">
      <c r="K566" s="163"/>
      <c r="L566" s="163"/>
    </row>
    <row r="567">
      <c r="K567" s="163"/>
      <c r="L567" s="163"/>
    </row>
    <row r="568">
      <c r="K568" s="163"/>
      <c r="L568" s="163"/>
    </row>
    <row r="569">
      <c r="K569" s="163"/>
      <c r="L569" s="163"/>
    </row>
    <row r="570">
      <c r="K570" s="163"/>
      <c r="L570" s="163"/>
    </row>
    <row r="571">
      <c r="K571" s="163"/>
      <c r="L571" s="163"/>
    </row>
    <row r="572">
      <c r="K572" s="163"/>
      <c r="L572" s="163"/>
    </row>
    <row r="573">
      <c r="K573" s="163"/>
      <c r="L573" s="163"/>
    </row>
    <row r="574">
      <c r="K574" s="163"/>
      <c r="L574" s="163"/>
    </row>
    <row r="575">
      <c r="K575" s="163"/>
      <c r="L575" s="163"/>
    </row>
    <row r="576">
      <c r="K576" s="163"/>
      <c r="L576" s="163"/>
    </row>
    <row r="577">
      <c r="K577" s="163"/>
      <c r="L577" s="163"/>
    </row>
    <row r="578">
      <c r="K578" s="163"/>
      <c r="L578" s="163"/>
    </row>
    <row r="579">
      <c r="K579" s="163"/>
      <c r="L579" s="163"/>
    </row>
    <row r="580">
      <c r="K580" s="163"/>
      <c r="L580" s="163"/>
    </row>
    <row r="581">
      <c r="K581" s="163"/>
      <c r="L581" s="163"/>
    </row>
    <row r="582">
      <c r="K582" s="163"/>
      <c r="L582" s="163"/>
    </row>
    <row r="583">
      <c r="K583" s="163"/>
      <c r="L583" s="163"/>
    </row>
    <row r="584">
      <c r="K584" s="163"/>
      <c r="L584" s="163"/>
    </row>
    <row r="585">
      <c r="K585" s="163"/>
      <c r="L585" s="163"/>
    </row>
    <row r="586">
      <c r="K586" s="163"/>
      <c r="L586" s="163"/>
    </row>
    <row r="587">
      <c r="K587" s="163"/>
      <c r="L587" s="163"/>
    </row>
    <row r="588">
      <c r="K588" s="163"/>
      <c r="L588" s="163"/>
    </row>
    <row r="589">
      <c r="K589" s="163"/>
      <c r="L589" s="163"/>
    </row>
    <row r="590">
      <c r="K590" s="163"/>
      <c r="L590" s="163"/>
    </row>
    <row r="591">
      <c r="K591" s="163"/>
      <c r="L591" s="163"/>
    </row>
    <row r="592">
      <c r="K592" s="163"/>
      <c r="L592" s="163"/>
    </row>
    <row r="593">
      <c r="K593" s="163"/>
      <c r="L593" s="163"/>
    </row>
    <row r="594">
      <c r="K594" s="163"/>
      <c r="L594" s="163"/>
    </row>
    <row r="595">
      <c r="K595" s="163"/>
      <c r="L595" s="163"/>
    </row>
    <row r="596">
      <c r="K596" s="163"/>
      <c r="L596" s="163"/>
    </row>
    <row r="597">
      <c r="K597" s="163"/>
      <c r="L597" s="163"/>
    </row>
    <row r="598">
      <c r="K598" s="163"/>
      <c r="L598" s="163"/>
    </row>
    <row r="599">
      <c r="K599" s="163"/>
      <c r="L599" s="163"/>
    </row>
    <row r="600">
      <c r="K600" s="163"/>
      <c r="L600" s="163"/>
    </row>
    <row r="601">
      <c r="K601" s="163"/>
      <c r="L601" s="163"/>
    </row>
    <row r="602">
      <c r="K602" s="163"/>
      <c r="L602" s="163"/>
    </row>
    <row r="603">
      <c r="K603" s="163"/>
      <c r="L603" s="163"/>
    </row>
    <row r="604">
      <c r="K604" s="163"/>
      <c r="L604" s="163"/>
    </row>
    <row r="605">
      <c r="K605" s="163"/>
      <c r="L605" s="163"/>
    </row>
    <row r="606">
      <c r="K606" s="163"/>
      <c r="L606" s="163"/>
    </row>
    <row r="607">
      <c r="K607" s="163"/>
      <c r="L607" s="163"/>
    </row>
    <row r="608">
      <c r="K608" s="163"/>
      <c r="L608" s="163"/>
    </row>
    <row r="609">
      <c r="K609" s="163"/>
      <c r="L609" s="163"/>
    </row>
    <row r="610">
      <c r="K610" s="163"/>
      <c r="L610" s="163"/>
    </row>
    <row r="611">
      <c r="K611" s="163"/>
      <c r="L611" s="163"/>
    </row>
    <row r="612">
      <c r="K612" s="163"/>
      <c r="L612" s="163"/>
    </row>
    <row r="613">
      <c r="K613" s="163"/>
      <c r="L613" s="163"/>
    </row>
    <row r="614">
      <c r="K614" s="163"/>
      <c r="L614" s="163"/>
    </row>
    <row r="615">
      <c r="K615" s="163"/>
      <c r="L615" s="163"/>
    </row>
    <row r="616">
      <c r="K616" s="163"/>
      <c r="L616" s="163"/>
    </row>
    <row r="617">
      <c r="K617" s="163"/>
      <c r="L617" s="163"/>
    </row>
    <row r="618">
      <c r="K618" s="163"/>
      <c r="L618" s="163"/>
    </row>
    <row r="619">
      <c r="K619" s="163"/>
      <c r="L619" s="163"/>
    </row>
    <row r="620">
      <c r="K620" s="163"/>
      <c r="L620" s="163"/>
    </row>
    <row r="621">
      <c r="K621" s="163"/>
      <c r="L621" s="163"/>
    </row>
    <row r="622">
      <c r="K622" s="163"/>
      <c r="L622" s="163"/>
    </row>
    <row r="623">
      <c r="K623" s="163"/>
      <c r="L623" s="163"/>
    </row>
    <row r="624">
      <c r="K624" s="163"/>
      <c r="L624" s="163"/>
    </row>
    <row r="625">
      <c r="K625" s="163"/>
      <c r="L625" s="163"/>
    </row>
    <row r="626">
      <c r="K626" s="163"/>
      <c r="L626" s="163"/>
    </row>
    <row r="627">
      <c r="K627" s="163"/>
      <c r="L627" s="163"/>
    </row>
    <row r="628">
      <c r="K628" s="163"/>
      <c r="L628" s="163"/>
    </row>
    <row r="629">
      <c r="K629" s="163"/>
      <c r="L629" s="163"/>
    </row>
    <row r="630">
      <c r="K630" s="163"/>
      <c r="L630" s="163"/>
    </row>
    <row r="631">
      <c r="K631" s="163"/>
      <c r="L631" s="163"/>
    </row>
    <row r="632">
      <c r="K632" s="163"/>
      <c r="L632" s="163"/>
    </row>
    <row r="633">
      <c r="K633" s="163"/>
      <c r="L633" s="163"/>
    </row>
    <row r="634">
      <c r="K634" s="163"/>
      <c r="L634" s="163"/>
    </row>
    <row r="635">
      <c r="K635" s="163"/>
      <c r="L635" s="163"/>
    </row>
    <row r="636">
      <c r="K636" s="163"/>
      <c r="L636" s="163"/>
    </row>
    <row r="637">
      <c r="K637" s="163"/>
      <c r="L637" s="163"/>
    </row>
    <row r="638">
      <c r="K638" s="163"/>
      <c r="L638" s="163"/>
    </row>
    <row r="639">
      <c r="K639" s="163"/>
      <c r="L639" s="163"/>
    </row>
    <row r="640">
      <c r="K640" s="163"/>
      <c r="L640" s="163"/>
    </row>
    <row r="641">
      <c r="K641" s="163"/>
      <c r="L641" s="163"/>
    </row>
    <row r="642">
      <c r="K642" s="163"/>
      <c r="L642" s="163"/>
    </row>
    <row r="643">
      <c r="K643" s="163"/>
      <c r="L643" s="163"/>
    </row>
    <row r="644">
      <c r="K644" s="163"/>
      <c r="L644" s="163"/>
    </row>
    <row r="645">
      <c r="K645" s="163"/>
      <c r="L645" s="163"/>
    </row>
    <row r="646">
      <c r="K646" s="163"/>
      <c r="L646" s="163"/>
    </row>
    <row r="647">
      <c r="K647" s="163"/>
      <c r="L647" s="163"/>
    </row>
    <row r="648">
      <c r="K648" s="163"/>
      <c r="L648" s="163"/>
    </row>
    <row r="649">
      <c r="K649" s="163"/>
      <c r="L649" s="163"/>
    </row>
    <row r="650">
      <c r="K650" s="163"/>
      <c r="L650" s="163"/>
    </row>
    <row r="651">
      <c r="K651" s="163"/>
      <c r="L651" s="163"/>
    </row>
    <row r="652">
      <c r="K652" s="163"/>
      <c r="L652" s="163"/>
    </row>
    <row r="653">
      <c r="K653" s="163"/>
      <c r="L653" s="163"/>
    </row>
    <row r="654">
      <c r="K654" s="163"/>
      <c r="L654" s="163"/>
    </row>
    <row r="655">
      <c r="K655" s="163"/>
      <c r="L655" s="163"/>
    </row>
    <row r="656">
      <c r="K656" s="163"/>
      <c r="L656" s="163"/>
    </row>
    <row r="657">
      <c r="K657" s="163"/>
      <c r="L657" s="163"/>
    </row>
    <row r="658">
      <c r="K658" s="163"/>
      <c r="L658" s="163"/>
    </row>
    <row r="659">
      <c r="K659" s="163"/>
      <c r="L659" s="163"/>
    </row>
    <row r="660">
      <c r="K660" s="163"/>
      <c r="L660" s="163"/>
    </row>
    <row r="661">
      <c r="K661" s="163"/>
      <c r="L661" s="163"/>
    </row>
    <row r="662">
      <c r="K662" s="163"/>
      <c r="L662" s="163"/>
    </row>
    <row r="663">
      <c r="K663" s="163"/>
      <c r="L663" s="163"/>
    </row>
    <row r="664">
      <c r="K664" s="163"/>
      <c r="L664" s="163"/>
    </row>
    <row r="665">
      <c r="K665" s="163"/>
      <c r="L665" s="163"/>
    </row>
    <row r="666">
      <c r="K666" s="163"/>
      <c r="L666" s="163"/>
    </row>
    <row r="667">
      <c r="K667" s="163"/>
      <c r="L667" s="163"/>
    </row>
    <row r="668">
      <c r="K668" s="163"/>
      <c r="L668" s="163"/>
    </row>
    <row r="669">
      <c r="K669" s="163"/>
      <c r="L669" s="163"/>
    </row>
    <row r="670">
      <c r="K670" s="163"/>
      <c r="L670" s="163"/>
    </row>
    <row r="671">
      <c r="K671" s="163"/>
      <c r="L671" s="163"/>
    </row>
    <row r="672">
      <c r="K672" s="163"/>
      <c r="L672" s="163"/>
    </row>
    <row r="673">
      <c r="K673" s="163"/>
      <c r="L673" s="163"/>
    </row>
    <row r="674">
      <c r="K674" s="163"/>
      <c r="L674" s="163"/>
    </row>
    <row r="675">
      <c r="K675" s="163"/>
      <c r="L675" s="163"/>
    </row>
    <row r="676">
      <c r="K676" s="163"/>
      <c r="L676" s="163"/>
    </row>
    <row r="677">
      <c r="K677" s="163"/>
      <c r="L677" s="163"/>
    </row>
    <row r="678">
      <c r="K678" s="163"/>
      <c r="L678" s="163"/>
    </row>
    <row r="679">
      <c r="K679" s="163"/>
      <c r="L679" s="163"/>
    </row>
    <row r="680">
      <c r="K680" s="163"/>
      <c r="L680" s="163"/>
    </row>
    <row r="681">
      <c r="K681" s="163"/>
      <c r="L681" s="163"/>
    </row>
    <row r="682">
      <c r="K682" s="163"/>
      <c r="L682" s="163"/>
    </row>
    <row r="683">
      <c r="K683" s="163"/>
      <c r="L683" s="163"/>
    </row>
    <row r="684">
      <c r="K684" s="163"/>
      <c r="L684" s="163"/>
    </row>
    <row r="685">
      <c r="K685" s="163"/>
      <c r="L685" s="163"/>
    </row>
    <row r="686">
      <c r="K686" s="163"/>
      <c r="L686" s="163"/>
    </row>
    <row r="687">
      <c r="K687" s="163"/>
      <c r="L687" s="163"/>
    </row>
    <row r="688">
      <c r="K688" s="163"/>
      <c r="L688" s="163"/>
    </row>
    <row r="689">
      <c r="K689" s="163"/>
      <c r="L689" s="163"/>
    </row>
    <row r="690">
      <c r="K690" s="163"/>
      <c r="L690" s="163"/>
    </row>
    <row r="691">
      <c r="K691" s="163"/>
      <c r="L691" s="163"/>
    </row>
    <row r="692">
      <c r="K692" s="163"/>
      <c r="L692" s="163"/>
    </row>
    <row r="693">
      <c r="K693" s="163"/>
      <c r="L693" s="163"/>
    </row>
    <row r="694">
      <c r="K694" s="163"/>
      <c r="L694" s="163"/>
    </row>
    <row r="695">
      <c r="K695" s="163"/>
      <c r="L695" s="163"/>
    </row>
    <row r="696">
      <c r="K696" s="163"/>
      <c r="L696" s="163"/>
    </row>
    <row r="697">
      <c r="K697" s="163"/>
      <c r="L697" s="163"/>
    </row>
    <row r="698">
      <c r="K698" s="163"/>
      <c r="L698" s="163"/>
    </row>
    <row r="699">
      <c r="K699" s="163"/>
      <c r="L699" s="163"/>
    </row>
    <row r="700">
      <c r="K700" s="163"/>
      <c r="L700" s="163"/>
    </row>
    <row r="701">
      <c r="K701" s="163"/>
      <c r="L701" s="163"/>
    </row>
    <row r="702">
      <c r="K702" s="163"/>
      <c r="L702" s="163"/>
    </row>
    <row r="703">
      <c r="K703" s="163"/>
      <c r="L703" s="163"/>
    </row>
    <row r="704">
      <c r="K704" s="163"/>
      <c r="L704" s="163"/>
    </row>
    <row r="705">
      <c r="K705" s="163"/>
      <c r="L705" s="163"/>
    </row>
    <row r="706">
      <c r="K706" s="163"/>
      <c r="L706" s="163"/>
    </row>
    <row r="707">
      <c r="K707" s="163"/>
      <c r="L707" s="163"/>
    </row>
    <row r="708">
      <c r="K708" s="163"/>
      <c r="L708" s="163"/>
    </row>
    <row r="709">
      <c r="K709" s="163"/>
      <c r="L709" s="163"/>
    </row>
    <row r="710">
      <c r="K710" s="163"/>
      <c r="L710" s="163"/>
    </row>
    <row r="711">
      <c r="K711" s="163"/>
      <c r="L711" s="163"/>
    </row>
    <row r="712">
      <c r="K712" s="163"/>
      <c r="L712" s="163"/>
    </row>
    <row r="713">
      <c r="K713" s="163"/>
      <c r="L713" s="163"/>
    </row>
    <row r="714">
      <c r="K714" s="163"/>
      <c r="L714" s="163"/>
    </row>
    <row r="715">
      <c r="K715" s="163"/>
      <c r="L715" s="163"/>
    </row>
    <row r="716">
      <c r="K716" s="163"/>
      <c r="L716" s="163"/>
    </row>
    <row r="717">
      <c r="K717" s="163"/>
      <c r="L717" s="163"/>
    </row>
    <row r="718">
      <c r="K718" s="163"/>
      <c r="L718" s="163"/>
    </row>
    <row r="719">
      <c r="K719" s="163"/>
      <c r="L719" s="163"/>
    </row>
    <row r="720">
      <c r="K720" s="163"/>
      <c r="L720" s="163"/>
    </row>
    <row r="721">
      <c r="K721" s="163"/>
      <c r="L721" s="163"/>
    </row>
    <row r="722">
      <c r="K722" s="163"/>
      <c r="L722" s="163"/>
    </row>
    <row r="723">
      <c r="K723" s="163"/>
      <c r="L723" s="163"/>
    </row>
    <row r="724">
      <c r="K724" s="163"/>
      <c r="L724" s="163"/>
    </row>
    <row r="725">
      <c r="K725" s="163"/>
      <c r="L725" s="163"/>
    </row>
    <row r="726">
      <c r="K726" s="163"/>
      <c r="L726" s="163"/>
    </row>
    <row r="727">
      <c r="K727" s="163"/>
      <c r="L727" s="163"/>
    </row>
    <row r="728">
      <c r="K728" s="163"/>
      <c r="L728" s="163"/>
    </row>
    <row r="729">
      <c r="K729" s="163"/>
      <c r="L729" s="163"/>
    </row>
    <row r="730">
      <c r="K730" s="163"/>
      <c r="L730" s="163"/>
    </row>
    <row r="731">
      <c r="K731" s="163"/>
      <c r="L731" s="163"/>
    </row>
    <row r="732">
      <c r="K732" s="163"/>
      <c r="L732" s="163"/>
    </row>
    <row r="733">
      <c r="K733" s="163"/>
      <c r="L733" s="163"/>
    </row>
    <row r="734">
      <c r="K734" s="163"/>
      <c r="L734" s="163"/>
    </row>
    <row r="735">
      <c r="K735" s="163"/>
      <c r="L735" s="163"/>
    </row>
    <row r="736">
      <c r="K736" s="163"/>
      <c r="L736" s="163"/>
    </row>
    <row r="737">
      <c r="K737" s="163"/>
      <c r="L737" s="163"/>
    </row>
    <row r="738">
      <c r="K738" s="163"/>
      <c r="L738" s="163"/>
    </row>
    <row r="739">
      <c r="K739" s="163"/>
      <c r="L739" s="163"/>
    </row>
    <row r="740">
      <c r="K740" s="163"/>
      <c r="L740" s="163"/>
    </row>
    <row r="741">
      <c r="K741" s="163"/>
      <c r="L741" s="163"/>
    </row>
    <row r="742">
      <c r="K742" s="163"/>
      <c r="L742" s="163"/>
    </row>
    <row r="743">
      <c r="K743" s="163"/>
      <c r="L743" s="163"/>
    </row>
    <row r="744">
      <c r="K744" s="163"/>
      <c r="L744" s="163"/>
    </row>
    <row r="745">
      <c r="K745" s="163"/>
      <c r="L745" s="163"/>
    </row>
    <row r="746">
      <c r="K746" s="163"/>
      <c r="L746" s="163"/>
    </row>
    <row r="747">
      <c r="K747" s="163"/>
      <c r="L747" s="163"/>
    </row>
    <row r="748">
      <c r="K748" s="163"/>
      <c r="L748" s="163"/>
    </row>
    <row r="749">
      <c r="K749" s="163"/>
      <c r="L749" s="163"/>
    </row>
    <row r="750">
      <c r="K750" s="163"/>
      <c r="L750" s="163"/>
    </row>
    <row r="751">
      <c r="K751" s="163"/>
      <c r="L751" s="163"/>
    </row>
    <row r="752">
      <c r="K752" s="163"/>
      <c r="L752" s="163"/>
    </row>
    <row r="753">
      <c r="K753" s="163"/>
      <c r="L753" s="163"/>
    </row>
    <row r="754">
      <c r="K754" s="163"/>
      <c r="L754" s="163"/>
    </row>
    <row r="755">
      <c r="K755" s="163"/>
      <c r="L755" s="163"/>
    </row>
    <row r="756">
      <c r="K756" s="163"/>
      <c r="L756" s="163"/>
    </row>
    <row r="757">
      <c r="K757" s="163"/>
      <c r="L757" s="163"/>
    </row>
    <row r="758">
      <c r="K758" s="163"/>
      <c r="L758" s="163"/>
    </row>
    <row r="759">
      <c r="K759" s="163"/>
      <c r="L759" s="163"/>
    </row>
    <row r="760">
      <c r="K760" s="163"/>
      <c r="L760" s="163"/>
    </row>
    <row r="761">
      <c r="K761" s="163"/>
      <c r="L761" s="163"/>
    </row>
    <row r="762">
      <c r="K762" s="163"/>
      <c r="L762" s="163"/>
    </row>
    <row r="763">
      <c r="K763" s="163"/>
      <c r="L763" s="163"/>
    </row>
    <row r="764">
      <c r="K764" s="163"/>
      <c r="L764" s="163"/>
    </row>
    <row r="765">
      <c r="K765" s="163"/>
      <c r="L765" s="163"/>
    </row>
    <row r="766">
      <c r="K766" s="163"/>
      <c r="L766" s="163"/>
    </row>
    <row r="767">
      <c r="K767" s="163"/>
      <c r="L767" s="163"/>
    </row>
    <row r="768">
      <c r="K768" s="163"/>
      <c r="L768" s="163"/>
    </row>
    <row r="769">
      <c r="K769" s="163"/>
      <c r="L769" s="163"/>
    </row>
    <row r="770">
      <c r="K770" s="163"/>
      <c r="L770" s="163"/>
    </row>
    <row r="771">
      <c r="K771" s="163"/>
      <c r="L771" s="163"/>
    </row>
    <row r="772">
      <c r="K772" s="163"/>
      <c r="L772" s="163"/>
    </row>
    <row r="773">
      <c r="K773" s="163"/>
      <c r="L773" s="163"/>
    </row>
    <row r="774">
      <c r="K774" s="163"/>
      <c r="L774" s="163"/>
    </row>
    <row r="775">
      <c r="K775" s="163"/>
      <c r="L775" s="163"/>
    </row>
    <row r="776">
      <c r="K776" s="163"/>
      <c r="L776" s="163"/>
    </row>
    <row r="777">
      <c r="K777" s="163"/>
      <c r="L777" s="163"/>
    </row>
    <row r="778">
      <c r="K778" s="163"/>
      <c r="L778" s="163"/>
    </row>
    <row r="779">
      <c r="K779" s="163"/>
      <c r="L779" s="163"/>
    </row>
    <row r="780">
      <c r="K780" s="163"/>
      <c r="L780" s="163"/>
    </row>
    <row r="781">
      <c r="K781" s="163"/>
      <c r="L781" s="163"/>
    </row>
    <row r="782">
      <c r="K782" s="163"/>
      <c r="L782" s="163"/>
    </row>
    <row r="783">
      <c r="K783" s="163"/>
      <c r="L783" s="163"/>
    </row>
    <row r="784">
      <c r="K784" s="163"/>
      <c r="L784" s="163"/>
    </row>
    <row r="785">
      <c r="K785" s="163"/>
      <c r="L785" s="163"/>
    </row>
    <row r="786">
      <c r="K786" s="163"/>
      <c r="L786" s="163"/>
    </row>
    <row r="787">
      <c r="K787" s="163"/>
      <c r="L787" s="163"/>
    </row>
    <row r="788">
      <c r="K788" s="163"/>
      <c r="L788" s="163"/>
    </row>
    <row r="789">
      <c r="K789" s="163"/>
      <c r="L789" s="163"/>
    </row>
    <row r="790">
      <c r="K790" s="163"/>
      <c r="L790" s="163"/>
    </row>
    <row r="791">
      <c r="K791" s="163"/>
      <c r="L791" s="163"/>
    </row>
    <row r="792">
      <c r="K792" s="163"/>
      <c r="L792" s="163"/>
    </row>
    <row r="793">
      <c r="K793" s="163"/>
      <c r="L793" s="163"/>
    </row>
    <row r="794">
      <c r="K794" s="163"/>
      <c r="L794" s="163"/>
    </row>
    <row r="795">
      <c r="K795" s="163"/>
      <c r="L795" s="163"/>
    </row>
    <row r="796">
      <c r="K796" s="163"/>
      <c r="L796" s="163"/>
    </row>
    <row r="797">
      <c r="K797" s="163"/>
      <c r="L797" s="163"/>
    </row>
    <row r="798">
      <c r="K798" s="163"/>
      <c r="L798" s="163"/>
    </row>
    <row r="799">
      <c r="K799" s="163"/>
      <c r="L799" s="163"/>
    </row>
    <row r="800">
      <c r="K800" s="163"/>
      <c r="L800" s="163"/>
    </row>
    <row r="801">
      <c r="K801" s="163"/>
      <c r="L801" s="163"/>
    </row>
    <row r="802">
      <c r="K802" s="163"/>
      <c r="L802" s="163"/>
    </row>
    <row r="803">
      <c r="K803" s="163"/>
      <c r="L803" s="163"/>
    </row>
    <row r="804">
      <c r="K804" s="163"/>
      <c r="L804" s="163"/>
    </row>
    <row r="805">
      <c r="K805" s="163"/>
      <c r="L805" s="163"/>
    </row>
    <row r="806">
      <c r="K806" s="163"/>
      <c r="L806" s="163"/>
    </row>
    <row r="807">
      <c r="K807" s="163"/>
      <c r="L807" s="163"/>
    </row>
    <row r="808">
      <c r="K808" s="163"/>
      <c r="L808" s="163"/>
    </row>
    <row r="809">
      <c r="K809" s="163"/>
      <c r="L809" s="163"/>
    </row>
    <row r="810">
      <c r="K810" s="163"/>
      <c r="L810" s="163"/>
    </row>
    <row r="811">
      <c r="K811" s="163"/>
      <c r="L811" s="163"/>
    </row>
    <row r="812">
      <c r="K812" s="163"/>
      <c r="L812" s="163"/>
    </row>
    <row r="813">
      <c r="K813" s="163"/>
      <c r="L813" s="163"/>
    </row>
    <row r="814">
      <c r="K814" s="163"/>
      <c r="L814" s="163"/>
    </row>
    <row r="815">
      <c r="K815" s="163"/>
      <c r="L815" s="163"/>
    </row>
    <row r="816">
      <c r="K816" s="163"/>
      <c r="L816" s="163"/>
    </row>
    <row r="817">
      <c r="K817" s="163"/>
      <c r="L817" s="163"/>
    </row>
    <row r="818">
      <c r="K818" s="163"/>
      <c r="L818" s="163"/>
    </row>
    <row r="819">
      <c r="K819" s="163"/>
      <c r="L819" s="163"/>
    </row>
    <row r="820">
      <c r="K820" s="163"/>
      <c r="L820" s="163"/>
    </row>
    <row r="821">
      <c r="K821" s="163"/>
      <c r="L821" s="163"/>
    </row>
    <row r="822">
      <c r="K822" s="163"/>
      <c r="L822" s="163"/>
    </row>
    <row r="823">
      <c r="K823" s="163"/>
      <c r="L823" s="163"/>
    </row>
    <row r="824">
      <c r="K824" s="163"/>
      <c r="L824" s="163"/>
    </row>
    <row r="825">
      <c r="K825" s="163"/>
      <c r="L825" s="163"/>
    </row>
    <row r="826">
      <c r="K826" s="163"/>
      <c r="L826" s="163"/>
    </row>
    <row r="827">
      <c r="K827" s="163"/>
      <c r="L827" s="163"/>
    </row>
    <row r="828">
      <c r="K828" s="163"/>
      <c r="L828" s="163"/>
    </row>
    <row r="829">
      <c r="K829" s="163"/>
      <c r="L829" s="163"/>
    </row>
    <row r="830">
      <c r="K830" s="163"/>
      <c r="L830" s="163"/>
    </row>
    <row r="831">
      <c r="K831" s="163"/>
      <c r="L831" s="163"/>
    </row>
    <row r="832">
      <c r="K832" s="163"/>
      <c r="L832" s="163"/>
    </row>
    <row r="833">
      <c r="K833" s="163"/>
      <c r="L833" s="163"/>
    </row>
    <row r="834">
      <c r="K834" s="163"/>
      <c r="L834" s="163"/>
    </row>
    <row r="835">
      <c r="K835" s="163"/>
      <c r="L835" s="163"/>
    </row>
    <row r="836">
      <c r="K836" s="163"/>
      <c r="L836" s="163"/>
    </row>
    <row r="837">
      <c r="K837" s="163"/>
      <c r="L837" s="163"/>
    </row>
    <row r="838">
      <c r="K838" s="163"/>
      <c r="L838" s="163"/>
    </row>
    <row r="839">
      <c r="K839" s="163"/>
      <c r="L839" s="163"/>
    </row>
    <row r="840">
      <c r="K840" s="163"/>
      <c r="L840" s="163"/>
    </row>
    <row r="841">
      <c r="K841" s="163"/>
      <c r="L841" s="163"/>
    </row>
    <row r="842">
      <c r="K842" s="163"/>
      <c r="L842" s="163"/>
    </row>
    <row r="843">
      <c r="K843" s="163"/>
      <c r="L843" s="163"/>
    </row>
    <row r="844">
      <c r="K844" s="163"/>
      <c r="L844" s="163"/>
    </row>
    <row r="845">
      <c r="K845" s="163"/>
      <c r="L845" s="163"/>
    </row>
    <row r="846">
      <c r="K846" s="163"/>
      <c r="L846" s="163"/>
    </row>
    <row r="847">
      <c r="K847" s="163"/>
      <c r="L847" s="163"/>
    </row>
    <row r="848">
      <c r="K848" s="163"/>
      <c r="L848" s="163"/>
    </row>
    <row r="849">
      <c r="K849" s="163"/>
      <c r="L849" s="163"/>
    </row>
    <row r="850">
      <c r="K850" s="163"/>
      <c r="L850" s="163"/>
    </row>
    <row r="851">
      <c r="K851" s="163"/>
      <c r="L851" s="163"/>
    </row>
    <row r="852">
      <c r="K852" s="163"/>
      <c r="L852" s="163"/>
    </row>
    <row r="853">
      <c r="K853" s="163"/>
      <c r="L853" s="163"/>
    </row>
    <row r="854">
      <c r="K854" s="163"/>
      <c r="L854" s="163"/>
    </row>
    <row r="855">
      <c r="K855" s="163"/>
      <c r="L855" s="163"/>
    </row>
    <row r="856">
      <c r="K856" s="163"/>
      <c r="L856" s="163"/>
    </row>
    <row r="857">
      <c r="K857" s="163"/>
      <c r="L857" s="163"/>
    </row>
    <row r="858">
      <c r="K858" s="163"/>
      <c r="L858" s="163"/>
    </row>
    <row r="859">
      <c r="K859" s="163"/>
      <c r="L859" s="163"/>
    </row>
    <row r="860">
      <c r="K860" s="163"/>
      <c r="L860" s="163"/>
    </row>
    <row r="861">
      <c r="K861" s="163"/>
      <c r="L861" s="163"/>
    </row>
    <row r="862">
      <c r="K862" s="163"/>
      <c r="L862" s="163"/>
    </row>
    <row r="863">
      <c r="K863" s="163"/>
      <c r="L863" s="163"/>
    </row>
    <row r="864">
      <c r="K864" s="163"/>
      <c r="L864" s="163"/>
    </row>
    <row r="865">
      <c r="K865" s="163"/>
      <c r="L865" s="163"/>
    </row>
    <row r="866">
      <c r="K866" s="163"/>
      <c r="L866" s="163"/>
    </row>
    <row r="867">
      <c r="K867" s="163"/>
      <c r="L867" s="163"/>
    </row>
    <row r="868">
      <c r="K868" s="163"/>
      <c r="L868" s="163"/>
    </row>
    <row r="869">
      <c r="K869" s="163"/>
      <c r="L869" s="163"/>
    </row>
    <row r="870">
      <c r="K870" s="163"/>
      <c r="L870" s="163"/>
    </row>
    <row r="871">
      <c r="K871" s="163"/>
      <c r="L871" s="163"/>
    </row>
    <row r="872">
      <c r="K872" s="163"/>
      <c r="L872" s="163"/>
    </row>
    <row r="873">
      <c r="K873" s="163"/>
      <c r="L873" s="163"/>
    </row>
    <row r="874">
      <c r="K874" s="163"/>
      <c r="L874" s="163"/>
    </row>
    <row r="875">
      <c r="K875" s="163"/>
      <c r="L875" s="163"/>
    </row>
    <row r="876">
      <c r="K876" s="163"/>
      <c r="L876" s="163"/>
    </row>
    <row r="877">
      <c r="K877" s="163"/>
      <c r="L877" s="163"/>
    </row>
    <row r="878">
      <c r="K878" s="163"/>
      <c r="L878" s="163"/>
    </row>
    <row r="879">
      <c r="K879" s="163"/>
      <c r="L879" s="163"/>
    </row>
    <row r="880">
      <c r="K880" s="163"/>
      <c r="L880" s="163"/>
    </row>
    <row r="881">
      <c r="K881" s="163"/>
      <c r="L881" s="163"/>
    </row>
    <row r="882">
      <c r="K882" s="163"/>
      <c r="L882" s="163"/>
    </row>
    <row r="883">
      <c r="K883" s="163"/>
      <c r="L883" s="163"/>
    </row>
    <row r="884">
      <c r="K884" s="163"/>
      <c r="L884" s="163"/>
    </row>
    <row r="885">
      <c r="K885" s="163"/>
      <c r="L885" s="163"/>
    </row>
    <row r="886">
      <c r="K886" s="163"/>
      <c r="L886" s="163"/>
    </row>
    <row r="887">
      <c r="K887" s="163"/>
      <c r="L887" s="163"/>
    </row>
    <row r="888">
      <c r="K888" s="163"/>
      <c r="L888" s="163"/>
    </row>
    <row r="889">
      <c r="K889" s="163"/>
      <c r="L889" s="163"/>
    </row>
    <row r="890">
      <c r="K890" s="163"/>
      <c r="L890" s="163"/>
    </row>
    <row r="891">
      <c r="K891" s="163"/>
      <c r="L891" s="163"/>
    </row>
    <row r="892">
      <c r="K892" s="163"/>
      <c r="L892" s="163"/>
    </row>
    <row r="893">
      <c r="K893" s="163"/>
      <c r="L893" s="163"/>
    </row>
    <row r="894">
      <c r="K894" s="163"/>
      <c r="L894" s="163"/>
    </row>
    <row r="895">
      <c r="K895" s="163"/>
      <c r="L895" s="163"/>
    </row>
    <row r="896">
      <c r="K896" s="163"/>
      <c r="L896" s="163"/>
    </row>
    <row r="897">
      <c r="K897" s="163"/>
      <c r="L897" s="163"/>
    </row>
    <row r="898">
      <c r="K898" s="163"/>
      <c r="L898" s="163"/>
    </row>
    <row r="899">
      <c r="K899" s="163"/>
      <c r="L899" s="163"/>
    </row>
    <row r="900">
      <c r="K900" s="163"/>
      <c r="L900" s="163"/>
    </row>
    <row r="901">
      <c r="K901" s="163"/>
      <c r="L901" s="163"/>
    </row>
    <row r="902">
      <c r="K902" s="163"/>
      <c r="L902" s="163"/>
    </row>
    <row r="903">
      <c r="K903" s="163"/>
      <c r="L903" s="163"/>
    </row>
    <row r="904">
      <c r="K904" s="163"/>
      <c r="L904" s="163"/>
    </row>
    <row r="905">
      <c r="K905" s="163"/>
      <c r="L905" s="163"/>
    </row>
    <row r="906">
      <c r="K906" s="163"/>
      <c r="L906" s="163"/>
    </row>
    <row r="907">
      <c r="K907" s="163"/>
      <c r="L907" s="163"/>
    </row>
    <row r="908">
      <c r="K908" s="163"/>
      <c r="L908" s="163"/>
    </row>
    <row r="909">
      <c r="K909" s="163"/>
      <c r="L909" s="163"/>
    </row>
    <row r="910">
      <c r="K910" s="163"/>
      <c r="L910" s="163"/>
    </row>
    <row r="911">
      <c r="K911" s="163"/>
      <c r="L911" s="163"/>
    </row>
    <row r="912">
      <c r="K912" s="163"/>
      <c r="L912" s="163"/>
    </row>
    <row r="913">
      <c r="K913" s="163"/>
      <c r="L913" s="163"/>
    </row>
    <row r="914">
      <c r="K914" s="163"/>
      <c r="L914" s="163"/>
    </row>
    <row r="915">
      <c r="K915" s="163"/>
      <c r="L915" s="163"/>
    </row>
    <row r="916">
      <c r="K916" s="163"/>
      <c r="L916" s="163"/>
    </row>
    <row r="917">
      <c r="K917" s="163"/>
      <c r="L917" s="163"/>
    </row>
    <row r="918">
      <c r="K918" s="163"/>
      <c r="L918" s="163"/>
    </row>
    <row r="919">
      <c r="K919" s="163"/>
      <c r="L919" s="163"/>
    </row>
    <row r="920">
      <c r="K920" s="163"/>
      <c r="L920" s="163"/>
    </row>
    <row r="921">
      <c r="K921" s="163"/>
      <c r="L921" s="163"/>
    </row>
    <row r="922">
      <c r="K922" s="163"/>
      <c r="L922" s="163"/>
    </row>
    <row r="923">
      <c r="K923" s="163"/>
      <c r="L923" s="163"/>
    </row>
    <row r="924">
      <c r="K924" s="163"/>
      <c r="L924" s="163"/>
    </row>
    <row r="925">
      <c r="K925" s="163"/>
      <c r="L925" s="163"/>
    </row>
    <row r="926">
      <c r="K926" s="163"/>
      <c r="L926" s="163"/>
    </row>
    <row r="927">
      <c r="K927" s="163"/>
      <c r="L927" s="163"/>
    </row>
    <row r="928">
      <c r="K928" s="163"/>
      <c r="L928" s="163"/>
    </row>
    <row r="929">
      <c r="K929" s="163"/>
      <c r="L929" s="163"/>
    </row>
    <row r="930">
      <c r="K930" s="163"/>
      <c r="L930" s="163"/>
    </row>
    <row r="931">
      <c r="K931" s="163"/>
      <c r="L931" s="163"/>
    </row>
    <row r="932">
      <c r="K932" s="163"/>
      <c r="L932" s="163"/>
    </row>
    <row r="933">
      <c r="K933" s="163"/>
      <c r="L933" s="163"/>
    </row>
    <row r="934">
      <c r="K934" s="163"/>
      <c r="L934" s="163"/>
    </row>
    <row r="935">
      <c r="K935" s="163"/>
      <c r="L935" s="163"/>
    </row>
    <row r="936">
      <c r="K936" s="163"/>
      <c r="L936" s="163"/>
    </row>
    <row r="937">
      <c r="K937" s="163"/>
      <c r="L937" s="163"/>
    </row>
    <row r="938">
      <c r="K938" s="163"/>
      <c r="L938" s="163"/>
    </row>
    <row r="939">
      <c r="K939" s="163"/>
      <c r="L939" s="163"/>
    </row>
    <row r="940">
      <c r="K940" s="163"/>
      <c r="L940" s="163"/>
    </row>
    <row r="941">
      <c r="K941" s="163"/>
      <c r="L941" s="163"/>
    </row>
    <row r="942">
      <c r="K942" s="163"/>
      <c r="L942" s="163"/>
    </row>
    <row r="943">
      <c r="K943" s="163"/>
      <c r="L943" s="163"/>
    </row>
    <row r="944">
      <c r="K944" s="163"/>
      <c r="L944" s="163"/>
    </row>
    <row r="945">
      <c r="K945" s="163"/>
      <c r="L945" s="163"/>
    </row>
    <row r="946">
      <c r="K946" s="163"/>
      <c r="L946" s="163"/>
    </row>
    <row r="947">
      <c r="K947" s="163"/>
      <c r="L947" s="163"/>
    </row>
    <row r="948">
      <c r="K948" s="163"/>
      <c r="L948" s="163"/>
    </row>
    <row r="949">
      <c r="K949" s="163"/>
      <c r="L949" s="163"/>
    </row>
    <row r="950">
      <c r="K950" s="163"/>
      <c r="L950" s="163"/>
    </row>
    <row r="951">
      <c r="K951" s="163"/>
      <c r="L951" s="163"/>
    </row>
    <row r="952">
      <c r="K952" s="163"/>
      <c r="L952" s="163"/>
    </row>
    <row r="953">
      <c r="K953" s="163"/>
      <c r="L953" s="163"/>
    </row>
    <row r="954">
      <c r="K954" s="163"/>
      <c r="L954" s="163"/>
    </row>
    <row r="955">
      <c r="K955" s="163"/>
      <c r="L955" s="163"/>
    </row>
    <row r="956">
      <c r="K956" s="163"/>
      <c r="L956" s="163"/>
    </row>
    <row r="957">
      <c r="K957" s="163"/>
      <c r="L957" s="163"/>
    </row>
    <row r="958">
      <c r="K958" s="163"/>
      <c r="L958" s="163"/>
    </row>
    <row r="959">
      <c r="K959" s="163"/>
      <c r="L959" s="163"/>
    </row>
    <row r="960">
      <c r="K960" s="163"/>
      <c r="L960" s="163"/>
    </row>
    <row r="961">
      <c r="K961" s="163"/>
      <c r="L961" s="163"/>
    </row>
    <row r="962">
      <c r="K962" s="163"/>
      <c r="L962" s="163"/>
    </row>
    <row r="963">
      <c r="K963" s="163"/>
      <c r="L963" s="163"/>
    </row>
    <row r="964">
      <c r="K964" s="163"/>
      <c r="L964" s="163"/>
    </row>
    <row r="965">
      <c r="K965" s="163"/>
      <c r="L965" s="163"/>
    </row>
    <row r="966">
      <c r="K966" s="163"/>
      <c r="L966" s="163"/>
    </row>
    <row r="967">
      <c r="K967" s="163"/>
      <c r="L967" s="163"/>
    </row>
    <row r="968">
      <c r="K968" s="163"/>
      <c r="L968" s="163"/>
    </row>
    <row r="969">
      <c r="K969" s="163"/>
      <c r="L969" s="163"/>
    </row>
    <row r="970">
      <c r="K970" s="163"/>
      <c r="L970" s="163"/>
    </row>
    <row r="971">
      <c r="K971" s="163"/>
      <c r="L971" s="163"/>
    </row>
    <row r="972">
      <c r="K972" s="163"/>
      <c r="L972" s="163"/>
    </row>
    <row r="973">
      <c r="K973" s="163"/>
      <c r="L973" s="163"/>
    </row>
    <row r="974">
      <c r="K974" s="163"/>
      <c r="L974" s="163"/>
    </row>
    <row r="975">
      <c r="K975" s="163"/>
      <c r="L975" s="163"/>
    </row>
    <row r="976">
      <c r="K976" s="163"/>
      <c r="L976" s="163"/>
    </row>
    <row r="977">
      <c r="K977" s="163"/>
      <c r="L977" s="163"/>
    </row>
    <row r="978">
      <c r="K978" s="163"/>
      <c r="L978" s="163"/>
    </row>
    <row r="979">
      <c r="K979" s="163"/>
      <c r="L979" s="163"/>
    </row>
    <row r="980">
      <c r="K980" s="163"/>
      <c r="L980" s="163"/>
    </row>
    <row r="981">
      <c r="K981" s="163"/>
      <c r="L981" s="163"/>
    </row>
    <row r="982">
      <c r="K982" s="163"/>
      <c r="L982" s="163"/>
    </row>
    <row r="983">
      <c r="K983" s="163"/>
      <c r="L983" s="163"/>
    </row>
    <row r="984">
      <c r="K984" s="163"/>
      <c r="L984" s="163"/>
    </row>
    <row r="985">
      <c r="K985" s="163"/>
      <c r="L985" s="163"/>
    </row>
    <row r="986">
      <c r="K986" s="163"/>
      <c r="L986" s="163"/>
    </row>
    <row r="987">
      <c r="K987" s="163"/>
      <c r="L987" s="163"/>
    </row>
    <row r="988">
      <c r="K988" s="163"/>
      <c r="L988" s="163"/>
    </row>
    <row r="989">
      <c r="K989" s="163"/>
      <c r="L989" s="163"/>
    </row>
    <row r="990">
      <c r="K990" s="163"/>
      <c r="L990" s="163"/>
    </row>
    <row r="991">
      <c r="K991" s="163"/>
      <c r="L991" s="163"/>
    </row>
    <row r="992">
      <c r="K992" s="163"/>
      <c r="L992" s="163"/>
    </row>
    <row r="993">
      <c r="K993" s="163"/>
      <c r="L993" s="163"/>
    </row>
    <row r="994">
      <c r="K994" s="163"/>
      <c r="L994" s="163"/>
    </row>
    <row r="995">
      <c r="K995" s="163"/>
      <c r="L995" s="163"/>
    </row>
    <row r="996">
      <c r="K996" s="163"/>
      <c r="L996" s="163"/>
    </row>
    <row r="997">
      <c r="K997" s="163"/>
      <c r="L997" s="163"/>
    </row>
    <row r="998">
      <c r="K998" s="163"/>
      <c r="L998" s="163"/>
    </row>
    <row r="999">
      <c r="K999" s="163"/>
      <c r="L999" s="163"/>
    </row>
    <row r="1000">
      <c r="K1000" s="163"/>
      <c r="L1000" s="163"/>
    </row>
  </sheetData>
  <mergeCells count="271">
    <mergeCell ref="B3:B4"/>
    <mergeCell ref="C3:C4"/>
    <mergeCell ref="A5:A7"/>
    <mergeCell ref="E5:E7"/>
    <mergeCell ref="F5:F7"/>
    <mergeCell ref="G5:G7"/>
    <mergeCell ref="G8:G10"/>
    <mergeCell ref="D5:D7"/>
    <mergeCell ref="D8:D10"/>
    <mergeCell ref="D11:D13"/>
    <mergeCell ref="E11:E13"/>
    <mergeCell ref="F11:F13"/>
    <mergeCell ref="G11:G13"/>
    <mergeCell ref="H11:H13"/>
    <mergeCell ref="J2:J4"/>
    <mergeCell ref="K2:K4"/>
    <mergeCell ref="L2:L4"/>
    <mergeCell ref="M2:M4"/>
    <mergeCell ref="A2:A4"/>
    <mergeCell ref="D2:D4"/>
    <mergeCell ref="E2:E4"/>
    <mergeCell ref="F2:F4"/>
    <mergeCell ref="G2:G4"/>
    <mergeCell ref="H2:H4"/>
    <mergeCell ref="I2:I4"/>
    <mergeCell ref="H5:H7"/>
    <mergeCell ref="I5:I7"/>
    <mergeCell ref="J5:J7"/>
    <mergeCell ref="K5:K7"/>
    <mergeCell ref="L5:L7"/>
    <mergeCell ref="M5:M7"/>
    <mergeCell ref="N5:N7"/>
    <mergeCell ref="O5:O7"/>
    <mergeCell ref="E8:E10"/>
    <mergeCell ref="F8:F10"/>
    <mergeCell ref="H8:H10"/>
    <mergeCell ref="I8:I10"/>
    <mergeCell ref="J8:J10"/>
    <mergeCell ref="K8:K10"/>
    <mergeCell ref="L8:L10"/>
    <mergeCell ref="M8:M10"/>
    <mergeCell ref="I11:I13"/>
    <mergeCell ref="J11:J13"/>
    <mergeCell ref="K11:K13"/>
    <mergeCell ref="L11:L13"/>
    <mergeCell ref="M11:M13"/>
    <mergeCell ref="K29:K31"/>
    <mergeCell ref="L29:L31"/>
    <mergeCell ref="M29:M31"/>
    <mergeCell ref="D29:D31"/>
    <mergeCell ref="E29:E31"/>
    <mergeCell ref="F29:F31"/>
    <mergeCell ref="G29:G31"/>
    <mergeCell ref="H29:H31"/>
    <mergeCell ref="I29:I31"/>
    <mergeCell ref="J29:J31"/>
    <mergeCell ref="K44:K46"/>
    <mergeCell ref="L44:L46"/>
    <mergeCell ref="M44:M46"/>
    <mergeCell ref="D44:D46"/>
    <mergeCell ref="E44:E46"/>
    <mergeCell ref="F44:F46"/>
    <mergeCell ref="G44:G46"/>
    <mergeCell ref="H44:H46"/>
    <mergeCell ref="I44:I46"/>
    <mergeCell ref="J44:J46"/>
    <mergeCell ref="K32:K34"/>
    <mergeCell ref="L32:L34"/>
    <mergeCell ref="M32:M34"/>
    <mergeCell ref="D32:D34"/>
    <mergeCell ref="E32:E34"/>
    <mergeCell ref="F32:F34"/>
    <mergeCell ref="G32:G34"/>
    <mergeCell ref="H32:H34"/>
    <mergeCell ref="I32:I34"/>
    <mergeCell ref="J32:J34"/>
    <mergeCell ref="K35:K37"/>
    <mergeCell ref="L35:L37"/>
    <mergeCell ref="M35:M37"/>
    <mergeCell ref="D35:D37"/>
    <mergeCell ref="E35:E37"/>
    <mergeCell ref="F35:F37"/>
    <mergeCell ref="G35:G37"/>
    <mergeCell ref="H35:H37"/>
    <mergeCell ref="I35:I37"/>
    <mergeCell ref="J35:J37"/>
    <mergeCell ref="K38:K40"/>
    <mergeCell ref="L38:L40"/>
    <mergeCell ref="M38:M40"/>
    <mergeCell ref="D38:D40"/>
    <mergeCell ref="E38:E40"/>
    <mergeCell ref="F38:F40"/>
    <mergeCell ref="G38:G40"/>
    <mergeCell ref="H38:H40"/>
    <mergeCell ref="I38:I40"/>
    <mergeCell ref="J38:J40"/>
    <mergeCell ref="K47:K49"/>
    <mergeCell ref="L47:L49"/>
    <mergeCell ref="M47:M49"/>
    <mergeCell ref="D47:D49"/>
    <mergeCell ref="E47:E49"/>
    <mergeCell ref="F47:F49"/>
    <mergeCell ref="G47:G49"/>
    <mergeCell ref="H47:H49"/>
    <mergeCell ref="I47:I49"/>
    <mergeCell ref="J47:J49"/>
    <mergeCell ref="D53:D55"/>
    <mergeCell ref="E53:E55"/>
    <mergeCell ref="F53:F55"/>
    <mergeCell ref="G53:G55"/>
    <mergeCell ref="H53:H55"/>
    <mergeCell ref="I53:I55"/>
    <mergeCell ref="J53:J55"/>
    <mergeCell ref="A53:A55"/>
    <mergeCell ref="A56:A58"/>
    <mergeCell ref="D56:D58"/>
    <mergeCell ref="E56:E58"/>
    <mergeCell ref="F56:F58"/>
    <mergeCell ref="G56:G58"/>
    <mergeCell ref="H56:H58"/>
    <mergeCell ref="J50:J52"/>
    <mergeCell ref="K50:K52"/>
    <mergeCell ref="L50:L52"/>
    <mergeCell ref="M50:M52"/>
    <mergeCell ref="A50:A52"/>
    <mergeCell ref="D50:D52"/>
    <mergeCell ref="E50:E52"/>
    <mergeCell ref="F50:F52"/>
    <mergeCell ref="G50:G52"/>
    <mergeCell ref="H50:H52"/>
    <mergeCell ref="I50:I52"/>
    <mergeCell ref="K53:K55"/>
    <mergeCell ref="L53:L55"/>
    <mergeCell ref="M53:M55"/>
    <mergeCell ref="I56:I58"/>
    <mergeCell ref="J56:J58"/>
    <mergeCell ref="K56:K58"/>
    <mergeCell ref="L56:L58"/>
    <mergeCell ref="M56:M58"/>
    <mergeCell ref="K59:K61"/>
    <mergeCell ref="L59:L61"/>
    <mergeCell ref="M59:M61"/>
    <mergeCell ref="D59:D61"/>
    <mergeCell ref="E59:E61"/>
    <mergeCell ref="F59:F61"/>
    <mergeCell ref="G59:G61"/>
    <mergeCell ref="H59:H61"/>
    <mergeCell ref="I59:I61"/>
    <mergeCell ref="J59:J61"/>
    <mergeCell ref="I62:I64"/>
    <mergeCell ref="J62:J64"/>
    <mergeCell ref="K62:K64"/>
    <mergeCell ref="L62:L64"/>
    <mergeCell ref="M62:M64"/>
    <mergeCell ref="G71:G73"/>
    <mergeCell ref="H71:H73"/>
    <mergeCell ref="A68:A70"/>
    <mergeCell ref="E68:E70"/>
    <mergeCell ref="F68:F70"/>
    <mergeCell ref="G68:G70"/>
    <mergeCell ref="H68:H70"/>
    <mergeCell ref="I68:I70"/>
    <mergeCell ref="A71:A73"/>
    <mergeCell ref="I71:I73"/>
    <mergeCell ref="D62:D64"/>
    <mergeCell ref="D65:D67"/>
    <mergeCell ref="E65:E67"/>
    <mergeCell ref="F65:F67"/>
    <mergeCell ref="G65:G67"/>
    <mergeCell ref="H65:H67"/>
    <mergeCell ref="I65:I67"/>
    <mergeCell ref="J65:J67"/>
    <mergeCell ref="K65:K67"/>
    <mergeCell ref="L65:L67"/>
    <mergeCell ref="M65:M67"/>
    <mergeCell ref="A59:A61"/>
    <mergeCell ref="A62:A64"/>
    <mergeCell ref="E62:E64"/>
    <mergeCell ref="F62:F64"/>
    <mergeCell ref="G62:G64"/>
    <mergeCell ref="H62:H64"/>
    <mergeCell ref="A65:A67"/>
    <mergeCell ref="J68:J70"/>
    <mergeCell ref="K68:K70"/>
    <mergeCell ref="L68:L70"/>
    <mergeCell ref="M68:M70"/>
    <mergeCell ref="N68:N70"/>
    <mergeCell ref="D68:D70"/>
    <mergeCell ref="D71:D73"/>
    <mergeCell ref="E71:E73"/>
    <mergeCell ref="F71:F73"/>
    <mergeCell ref="J71:J73"/>
    <mergeCell ref="K71:K73"/>
    <mergeCell ref="L71:L73"/>
    <mergeCell ref="M71:M73"/>
    <mergeCell ref="K14:K16"/>
    <mergeCell ref="L14:L16"/>
    <mergeCell ref="M14:M16"/>
    <mergeCell ref="D14:D16"/>
    <mergeCell ref="E14:E16"/>
    <mergeCell ref="F14:F16"/>
    <mergeCell ref="G14:G16"/>
    <mergeCell ref="H14:H16"/>
    <mergeCell ref="I14:I16"/>
    <mergeCell ref="J14:J16"/>
    <mergeCell ref="K17:K19"/>
    <mergeCell ref="L17:L19"/>
    <mergeCell ref="M17:M19"/>
    <mergeCell ref="D17:D19"/>
    <mergeCell ref="E17:E19"/>
    <mergeCell ref="F17:F19"/>
    <mergeCell ref="G17:G19"/>
    <mergeCell ref="H17:H19"/>
    <mergeCell ref="I17:I19"/>
    <mergeCell ref="J17:J19"/>
    <mergeCell ref="K20:K22"/>
    <mergeCell ref="L20:L22"/>
    <mergeCell ref="M20:M22"/>
    <mergeCell ref="D20:D22"/>
    <mergeCell ref="E20:E22"/>
    <mergeCell ref="F20:F22"/>
    <mergeCell ref="G20:G22"/>
    <mergeCell ref="H20:H22"/>
    <mergeCell ref="I20:I22"/>
    <mergeCell ref="J20:J22"/>
    <mergeCell ref="K23:K25"/>
    <mergeCell ref="L23:L25"/>
    <mergeCell ref="M23:M25"/>
    <mergeCell ref="D23:D25"/>
    <mergeCell ref="E23:E25"/>
    <mergeCell ref="F23:F25"/>
    <mergeCell ref="G23:G25"/>
    <mergeCell ref="H23:H25"/>
    <mergeCell ref="I23:I25"/>
    <mergeCell ref="J23:J25"/>
    <mergeCell ref="K26:K28"/>
    <mergeCell ref="L26:L28"/>
    <mergeCell ref="M26:M28"/>
    <mergeCell ref="D26:D28"/>
    <mergeCell ref="E26:E28"/>
    <mergeCell ref="F26:F28"/>
    <mergeCell ref="G26:G28"/>
    <mergeCell ref="H26:H28"/>
    <mergeCell ref="I26:I28"/>
    <mergeCell ref="J26:J28"/>
    <mergeCell ref="K41:K43"/>
    <mergeCell ref="L41:L43"/>
    <mergeCell ref="M41:M43"/>
    <mergeCell ref="N41:N43"/>
    <mergeCell ref="S41:S43"/>
    <mergeCell ref="D41:D43"/>
    <mergeCell ref="E41:E43"/>
    <mergeCell ref="F41:F43"/>
    <mergeCell ref="G41:G43"/>
    <mergeCell ref="H41:H43"/>
    <mergeCell ref="I41:I43"/>
    <mergeCell ref="J41:J43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</mergeCells>
  <hyperlinks>
    <hyperlink r:id="rId1" ref="N5"/>
    <hyperlink r:id="rId2" ref="N19"/>
    <hyperlink r:id="rId3" ref="O26"/>
    <hyperlink r:id="rId4" ref="N41"/>
    <hyperlink r:id="rId5" ref="N68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.43"/>
    <col customWidth="1" min="2" max="2" width="10.71"/>
    <col customWidth="1" min="3" max="3" width="17.43"/>
    <col customWidth="1" hidden="1" min="4" max="4" width="18.14"/>
    <col customWidth="1" hidden="1" min="5" max="5" width="18.86"/>
    <col customWidth="1" min="6" max="6" width="141.29"/>
    <col customWidth="1" min="7" max="7" width="14.0"/>
    <col customWidth="1" min="8" max="8" width="12.43"/>
    <col customWidth="1" min="9" max="9" width="10.0"/>
    <col customWidth="1" min="10" max="10" width="9.0"/>
    <col customWidth="1" min="11" max="11" width="26.86"/>
    <col customWidth="1" min="12" max="12" width="19.0"/>
    <col customWidth="1" min="13" max="13" width="14.43"/>
    <col customWidth="1" hidden="1" min="14" max="14" width="85.86"/>
    <col customWidth="1" hidden="1" min="15" max="15" width="17.71"/>
    <col hidden="1" min="16" max="17" width="14.43"/>
    <col customWidth="1" min="18" max="18" width="24.57"/>
    <col customWidth="1" min="19" max="19" width="22.0"/>
  </cols>
  <sheetData>
    <row r="1">
      <c r="A1" s="1" t="s">
        <v>0</v>
      </c>
      <c r="B1" s="1" t="s">
        <v>2</v>
      </c>
      <c r="C1" s="25" t="s">
        <v>1</v>
      </c>
      <c r="D1" s="88" t="s">
        <v>3</v>
      </c>
      <c r="E1" s="89" t="s">
        <v>4</v>
      </c>
      <c r="F1" s="1" t="s">
        <v>185</v>
      </c>
      <c r="G1" s="1" t="s">
        <v>6</v>
      </c>
      <c r="H1" s="1" t="s">
        <v>7</v>
      </c>
      <c r="I1" s="37" t="s">
        <v>126</v>
      </c>
      <c r="J1" s="37" t="s">
        <v>127</v>
      </c>
      <c r="K1" s="90" t="s">
        <v>128</v>
      </c>
      <c r="L1" s="90" t="s">
        <v>129</v>
      </c>
      <c r="M1" s="37" t="s">
        <v>130</v>
      </c>
      <c r="N1" s="43" t="s">
        <v>186</v>
      </c>
      <c r="O1" s="43" t="s">
        <v>187</v>
      </c>
    </row>
    <row r="2">
      <c r="A2" s="91">
        <v>1.0</v>
      </c>
      <c r="B2" s="92">
        <v>1.1321028E7</v>
      </c>
      <c r="C2" s="93" t="s">
        <v>8</v>
      </c>
      <c r="D2" s="94" t="s">
        <v>9</v>
      </c>
      <c r="E2" s="94" t="s">
        <v>10</v>
      </c>
      <c r="F2" s="95" t="s">
        <v>188</v>
      </c>
      <c r="G2" s="96" t="s">
        <v>12</v>
      </c>
      <c r="H2" s="40"/>
      <c r="I2" s="41" t="s">
        <v>23</v>
      </c>
      <c r="J2" s="41" t="s">
        <v>30</v>
      </c>
      <c r="K2" s="97" t="s">
        <v>268</v>
      </c>
      <c r="L2" s="97" t="s">
        <v>269</v>
      </c>
      <c r="M2" s="41" t="s">
        <v>239</v>
      </c>
      <c r="R2" s="43" t="s">
        <v>270</v>
      </c>
      <c r="U2" s="63" t="s">
        <v>271</v>
      </c>
    </row>
    <row r="3">
      <c r="A3" s="14"/>
      <c r="B3" s="91">
        <v>1.1321033E7</v>
      </c>
      <c r="C3" s="98" t="s">
        <v>13</v>
      </c>
      <c r="D3" s="14"/>
      <c r="E3" s="14"/>
      <c r="F3" s="14"/>
      <c r="G3" s="14"/>
      <c r="H3" s="14"/>
      <c r="I3" s="14"/>
      <c r="J3" s="14"/>
      <c r="K3" s="14"/>
      <c r="L3" s="14"/>
      <c r="M3" s="14"/>
      <c r="S3" s="43" t="s">
        <v>272</v>
      </c>
      <c r="U3" s="63" t="s">
        <v>273</v>
      </c>
      <c r="V3" s="63" t="s">
        <v>274</v>
      </c>
    </row>
    <row r="4" ht="2.2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>
      <c r="A5" s="99">
        <v>2.0</v>
      </c>
      <c r="B5" s="1">
        <v>1.1321016E7</v>
      </c>
      <c r="C5" s="25" t="s">
        <v>14</v>
      </c>
      <c r="D5" s="100" t="s">
        <v>9</v>
      </c>
      <c r="E5" s="100" t="s">
        <v>10</v>
      </c>
      <c r="F5" s="101" t="s">
        <v>189</v>
      </c>
      <c r="G5" s="102" t="s">
        <v>12</v>
      </c>
      <c r="H5" s="99" t="s">
        <v>16</v>
      </c>
      <c r="I5" s="80" t="s">
        <v>36</v>
      </c>
      <c r="J5" s="80" t="s">
        <v>23</v>
      </c>
      <c r="K5" s="103" t="s">
        <v>273</v>
      </c>
      <c r="L5" s="103" t="s">
        <v>275</v>
      </c>
      <c r="M5" s="44" t="s">
        <v>239</v>
      </c>
      <c r="N5" s="70" t="s">
        <v>190</v>
      </c>
      <c r="O5" s="43" t="s">
        <v>191</v>
      </c>
    </row>
    <row r="6">
      <c r="A6" s="14"/>
      <c r="B6" s="1">
        <v>1.1321072E7</v>
      </c>
      <c r="C6" s="25" t="s">
        <v>17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>
      <c r="A7" s="18"/>
      <c r="B7" s="1">
        <v>1.1321062E7</v>
      </c>
      <c r="C7" s="25" t="s">
        <v>18</v>
      </c>
      <c r="D7" s="18"/>
      <c r="E7" s="18"/>
      <c r="F7" s="18"/>
      <c r="G7" s="18"/>
      <c r="H7" s="18"/>
      <c r="I7" s="18"/>
      <c r="J7" s="18"/>
      <c r="K7" s="18"/>
      <c r="L7" s="18"/>
      <c r="M7" s="18"/>
      <c r="P7" s="43" t="s">
        <v>192</v>
      </c>
    </row>
    <row r="8">
      <c r="A8" s="104">
        <v>3.0</v>
      </c>
      <c r="B8" s="105">
        <v>1.1321018E7</v>
      </c>
      <c r="C8" s="106" t="s">
        <v>19</v>
      </c>
      <c r="D8" s="107" t="s">
        <v>20</v>
      </c>
      <c r="E8" s="108" t="s">
        <v>21</v>
      </c>
      <c r="F8" s="109" t="s">
        <v>193</v>
      </c>
      <c r="G8" s="110" t="s">
        <v>23</v>
      </c>
      <c r="H8" s="111"/>
      <c r="I8" s="50" t="s">
        <v>36</v>
      </c>
      <c r="J8" s="50" t="s">
        <v>30</v>
      </c>
      <c r="K8" s="112" t="s">
        <v>276</v>
      </c>
      <c r="L8" s="112" t="s">
        <v>274</v>
      </c>
      <c r="M8" s="50" t="s">
        <v>239</v>
      </c>
    </row>
    <row r="9">
      <c r="A9" s="14"/>
      <c r="B9" s="105">
        <v>1.1321068E7</v>
      </c>
      <c r="C9" s="106" t="s">
        <v>24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43" t="s">
        <v>194</v>
      </c>
    </row>
    <row r="10">
      <c r="A10" s="18"/>
      <c r="B10" s="105">
        <v>1.1321039E7</v>
      </c>
      <c r="C10" s="106" t="s">
        <v>25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>
      <c r="A11" s="99">
        <v>4.0</v>
      </c>
      <c r="B11" s="1">
        <v>1.132101E7</v>
      </c>
      <c r="C11" s="25" t="s">
        <v>26</v>
      </c>
      <c r="D11" s="113" t="s">
        <v>27</v>
      </c>
      <c r="E11" s="100" t="s">
        <v>28</v>
      </c>
      <c r="F11" s="101" t="s">
        <v>29</v>
      </c>
      <c r="G11" s="102" t="s">
        <v>30</v>
      </c>
      <c r="H11" s="13"/>
      <c r="I11" s="80" t="s">
        <v>12</v>
      </c>
      <c r="J11" s="80" t="s">
        <v>23</v>
      </c>
      <c r="K11" s="103" t="s">
        <v>276</v>
      </c>
      <c r="L11" s="103" t="s">
        <v>275</v>
      </c>
      <c r="M11" s="44" t="s">
        <v>239</v>
      </c>
    </row>
    <row r="12">
      <c r="A12" s="14"/>
      <c r="B12" s="1">
        <v>1.1321032E7</v>
      </c>
      <c r="C12" s="25" t="s">
        <v>31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>
      <c r="A13" s="18"/>
      <c r="B13" s="1">
        <v>1.1321059E7</v>
      </c>
      <c r="C13" s="25" t="s">
        <v>32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>
      <c r="A14" s="166">
        <v>5.0</v>
      </c>
      <c r="B14" s="167">
        <v>1.1321038E7</v>
      </c>
      <c r="C14" s="168" t="s">
        <v>33</v>
      </c>
      <c r="D14" s="169" t="s">
        <v>9</v>
      </c>
      <c r="E14" s="169" t="s">
        <v>34</v>
      </c>
      <c r="F14" s="170" t="s">
        <v>195</v>
      </c>
      <c r="G14" s="171" t="s">
        <v>36</v>
      </c>
      <c r="H14" s="172"/>
      <c r="I14" s="173" t="s">
        <v>30</v>
      </c>
      <c r="J14" s="173" t="s">
        <v>23</v>
      </c>
      <c r="K14" s="174" t="s">
        <v>277</v>
      </c>
      <c r="L14" s="174" t="s">
        <v>278</v>
      </c>
      <c r="M14" s="173" t="s">
        <v>279</v>
      </c>
      <c r="R14" s="63" t="s">
        <v>280</v>
      </c>
      <c r="S14" s="63" t="s">
        <v>281</v>
      </c>
      <c r="T14" s="43" t="s">
        <v>282</v>
      </c>
    </row>
    <row r="15">
      <c r="A15" s="14"/>
      <c r="B15" s="167">
        <v>1.1321026E7</v>
      </c>
      <c r="C15" s="168" t="s">
        <v>37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R15" s="43" t="s">
        <v>283</v>
      </c>
      <c r="S15" s="175" t="s">
        <v>284</v>
      </c>
    </row>
    <row r="16">
      <c r="A16" s="18"/>
      <c r="B16" s="167">
        <v>1.1321071E7</v>
      </c>
      <c r="C16" s="168" t="s">
        <v>38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>
      <c r="A17" s="166">
        <v>6.0</v>
      </c>
      <c r="B17" s="167">
        <v>1.1321048E7</v>
      </c>
      <c r="C17" s="168" t="s">
        <v>39</v>
      </c>
      <c r="D17" s="169" t="s">
        <v>9</v>
      </c>
      <c r="E17" s="169" t="s">
        <v>28</v>
      </c>
      <c r="F17" s="176" t="s">
        <v>196</v>
      </c>
      <c r="G17" s="166" t="s">
        <v>12</v>
      </c>
      <c r="H17" s="166" t="s">
        <v>16</v>
      </c>
      <c r="I17" s="173" t="s">
        <v>30</v>
      </c>
      <c r="J17" s="173" t="s">
        <v>23</v>
      </c>
      <c r="K17" s="174" t="s">
        <v>280</v>
      </c>
      <c r="L17" s="174" t="s">
        <v>275</v>
      </c>
      <c r="M17" s="173" t="s">
        <v>239</v>
      </c>
      <c r="N17" s="43" t="s">
        <v>197</v>
      </c>
      <c r="O17" s="43" t="s">
        <v>198</v>
      </c>
    </row>
    <row r="18">
      <c r="A18" s="14"/>
      <c r="B18" s="167">
        <v>1.1321053E7</v>
      </c>
      <c r="C18" s="168" t="s">
        <v>42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>
      <c r="A19" s="18"/>
      <c r="B19" s="167">
        <v>1.132107E7</v>
      </c>
      <c r="C19" s="168" t="s">
        <v>43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70" t="s">
        <v>199</v>
      </c>
      <c r="O19" s="43" t="s">
        <v>191</v>
      </c>
      <c r="P19" s="43" t="s">
        <v>200</v>
      </c>
    </row>
    <row r="20">
      <c r="A20" s="123">
        <v>7.0</v>
      </c>
      <c r="B20" s="124">
        <v>1.1321044E7</v>
      </c>
      <c r="C20" s="125" t="s">
        <v>44</v>
      </c>
      <c r="D20" s="126" t="s">
        <v>9</v>
      </c>
      <c r="E20" s="126" t="s">
        <v>45</v>
      </c>
      <c r="F20" s="128" t="s">
        <v>201</v>
      </c>
      <c r="G20" s="129" t="s">
        <v>36</v>
      </c>
      <c r="H20" s="130"/>
      <c r="I20" s="80" t="s">
        <v>12</v>
      </c>
      <c r="J20" s="80" t="s">
        <v>30</v>
      </c>
      <c r="K20" s="103" t="s">
        <v>285</v>
      </c>
      <c r="L20" s="103" t="s">
        <v>274</v>
      </c>
      <c r="M20" s="80" t="s">
        <v>239</v>
      </c>
    </row>
    <row r="21">
      <c r="A21" s="14"/>
      <c r="B21" s="124">
        <v>1.1321005E7</v>
      </c>
      <c r="C21" s="125" t="s">
        <v>47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O21" s="43" t="s">
        <v>202</v>
      </c>
    </row>
    <row r="22">
      <c r="A22" s="18"/>
      <c r="B22" s="124">
        <v>1.1321047E7</v>
      </c>
      <c r="C22" s="125" t="s">
        <v>48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>
      <c r="A23" s="91">
        <v>8.0</v>
      </c>
      <c r="B23" s="92">
        <v>1.1321013E7</v>
      </c>
      <c r="C23" s="93" t="s">
        <v>49</v>
      </c>
      <c r="D23" s="131" t="s">
        <v>50</v>
      </c>
      <c r="E23" s="94" t="s">
        <v>51</v>
      </c>
      <c r="F23" s="95" t="s">
        <v>52</v>
      </c>
      <c r="G23" s="96" t="s">
        <v>53</v>
      </c>
      <c r="H23" s="40"/>
      <c r="I23" s="41" t="s">
        <v>174</v>
      </c>
      <c r="J23" s="41" t="s">
        <v>23</v>
      </c>
      <c r="K23" s="152" t="s">
        <v>286</v>
      </c>
      <c r="L23" s="152" t="s">
        <v>256</v>
      </c>
      <c r="M23" s="58" t="s">
        <v>239</v>
      </c>
      <c r="R23" s="43" t="s">
        <v>249</v>
      </c>
      <c r="S23" s="43" t="s">
        <v>250</v>
      </c>
    </row>
    <row r="24">
      <c r="A24" s="14"/>
      <c r="B24" s="92">
        <v>1.1321058E7</v>
      </c>
      <c r="C24" s="93" t="s">
        <v>54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43" t="s">
        <v>203</v>
      </c>
      <c r="R24" s="43" t="s">
        <v>287</v>
      </c>
      <c r="S24" s="63" t="s">
        <v>285</v>
      </c>
      <c r="T24" s="63" t="s">
        <v>288</v>
      </c>
    </row>
    <row r="25">
      <c r="A25" s="18"/>
      <c r="B25" s="92">
        <v>1.1321069E7</v>
      </c>
      <c r="C25" s="93" t="s">
        <v>55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S25" s="132"/>
      <c r="T25" s="132"/>
    </row>
    <row r="26">
      <c r="A26" s="133">
        <v>9.0</v>
      </c>
      <c r="B26" s="134">
        <v>1.132103E7</v>
      </c>
      <c r="C26" s="135" t="s">
        <v>56</v>
      </c>
      <c r="D26" s="136" t="s">
        <v>20</v>
      </c>
      <c r="E26" s="137" t="s">
        <v>21</v>
      </c>
      <c r="F26" s="138" t="s">
        <v>57</v>
      </c>
      <c r="G26" s="133" t="s">
        <v>23</v>
      </c>
      <c r="H26" s="139"/>
      <c r="I26" s="140" t="s">
        <v>12</v>
      </c>
      <c r="J26" s="140" t="s">
        <v>36</v>
      </c>
      <c r="K26" s="141" t="s">
        <v>289</v>
      </c>
      <c r="L26" s="141" t="s">
        <v>290</v>
      </c>
      <c r="M26" s="140" t="s">
        <v>239</v>
      </c>
      <c r="N26" s="142" t="s">
        <v>204</v>
      </c>
      <c r="O26" s="143" t="s">
        <v>205</v>
      </c>
      <c r="P26" s="144"/>
      <c r="Q26" s="144"/>
      <c r="R26" s="144"/>
      <c r="S26" s="14"/>
      <c r="T26" s="14"/>
    </row>
    <row r="27">
      <c r="A27" s="14"/>
      <c r="B27" s="134">
        <v>1.1321036E7</v>
      </c>
      <c r="C27" s="135" t="s">
        <v>58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4"/>
      <c r="O27" s="144"/>
      <c r="P27" s="144"/>
      <c r="Q27" s="144"/>
      <c r="R27" s="144"/>
      <c r="S27" s="18"/>
      <c r="T27" s="18"/>
    </row>
    <row r="28">
      <c r="A28" s="18"/>
      <c r="B28" s="134">
        <v>1.1321041E7</v>
      </c>
      <c r="C28" s="135" t="s">
        <v>59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44"/>
      <c r="O28" s="144"/>
      <c r="P28" s="144"/>
      <c r="Q28" s="144"/>
      <c r="R28" s="144"/>
      <c r="S28" s="177" t="s">
        <v>284</v>
      </c>
      <c r="T28" s="177" t="s">
        <v>274</v>
      </c>
    </row>
    <row r="29">
      <c r="A29" s="123">
        <v>10.0</v>
      </c>
      <c r="B29" s="124">
        <v>1.1321051E7</v>
      </c>
      <c r="C29" s="125" t="s">
        <v>60</v>
      </c>
      <c r="D29" s="126" t="s">
        <v>9</v>
      </c>
      <c r="E29" s="126" t="s">
        <v>10</v>
      </c>
      <c r="F29" s="128" t="s">
        <v>206</v>
      </c>
      <c r="G29" s="129" t="s">
        <v>12</v>
      </c>
      <c r="H29" s="130"/>
      <c r="I29" s="80" t="s">
        <v>30</v>
      </c>
      <c r="J29" s="80" t="s">
        <v>23</v>
      </c>
      <c r="K29" s="103" t="s">
        <v>291</v>
      </c>
      <c r="L29" s="103" t="s">
        <v>275</v>
      </c>
      <c r="M29" s="80" t="s">
        <v>239</v>
      </c>
    </row>
    <row r="30">
      <c r="A30" s="14"/>
      <c r="B30" s="124">
        <v>1.1321007E7</v>
      </c>
      <c r="C30" s="125" t="s">
        <v>62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>
      <c r="A31" s="18"/>
      <c r="B31" s="124">
        <v>1.1321021E7</v>
      </c>
      <c r="C31" s="125" t="s">
        <v>63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>
      <c r="A32" s="91">
        <v>11.0</v>
      </c>
      <c r="B32" s="92">
        <v>1.1321015E7</v>
      </c>
      <c r="C32" s="93" t="s">
        <v>64</v>
      </c>
      <c r="D32" s="94" t="s">
        <v>9</v>
      </c>
      <c r="E32" s="94" t="s">
        <v>10</v>
      </c>
      <c r="F32" s="95" t="s">
        <v>253</v>
      </c>
      <c r="G32" s="96" t="s">
        <v>23</v>
      </c>
      <c r="H32" s="40"/>
      <c r="I32" s="41" t="s">
        <v>30</v>
      </c>
      <c r="J32" s="41" t="s">
        <v>12</v>
      </c>
      <c r="K32" s="132" t="s">
        <v>285</v>
      </c>
      <c r="L32" s="132" t="s">
        <v>292</v>
      </c>
      <c r="M32" s="41" t="s">
        <v>239</v>
      </c>
    </row>
    <row r="33">
      <c r="A33" s="14"/>
      <c r="B33" s="92">
        <v>1.1321025E7</v>
      </c>
      <c r="C33" s="93" t="s">
        <v>66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>
      <c r="A34" s="18"/>
      <c r="B34" s="92">
        <v>1.132106E7</v>
      </c>
      <c r="C34" s="93" t="s">
        <v>67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>
      <c r="A35" s="123">
        <v>12.0</v>
      </c>
      <c r="B35" s="124">
        <v>1.1321034E7</v>
      </c>
      <c r="C35" s="125" t="s">
        <v>68</v>
      </c>
      <c r="D35" s="126" t="s">
        <v>9</v>
      </c>
      <c r="E35" s="126" t="s">
        <v>34</v>
      </c>
      <c r="F35" s="128" t="s">
        <v>293</v>
      </c>
      <c r="G35" s="129" t="s">
        <v>36</v>
      </c>
      <c r="H35" s="130"/>
      <c r="I35" s="80" t="s">
        <v>30</v>
      </c>
      <c r="J35" s="80" t="s">
        <v>12</v>
      </c>
      <c r="K35" s="103" t="s">
        <v>276</v>
      </c>
      <c r="L35" s="103" t="s">
        <v>294</v>
      </c>
      <c r="M35" s="80" t="s">
        <v>239</v>
      </c>
    </row>
    <row r="36">
      <c r="A36" s="14"/>
      <c r="B36" s="124">
        <v>1.1321055E7</v>
      </c>
      <c r="C36" s="125" t="s">
        <v>70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>
      <c r="A37" s="18"/>
      <c r="B37" s="124">
        <v>1.1321054E7</v>
      </c>
      <c r="C37" s="125" t="s">
        <v>71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>
      <c r="A38" s="166">
        <v>13.0</v>
      </c>
      <c r="B38" s="167">
        <v>1.1321045E7</v>
      </c>
      <c r="C38" s="168" t="s">
        <v>72</v>
      </c>
      <c r="D38" s="178" t="s">
        <v>27</v>
      </c>
      <c r="E38" s="169" t="s">
        <v>10</v>
      </c>
      <c r="F38" s="170" t="s">
        <v>209</v>
      </c>
      <c r="G38" s="171" t="s">
        <v>30</v>
      </c>
      <c r="H38" s="172"/>
      <c r="I38" s="173" t="s">
        <v>36</v>
      </c>
      <c r="J38" s="173" t="s">
        <v>12</v>
      </c>
      <c r="K38" s="174" t="s">
        <v>280</v>
      </c>
      <c r="L38" s="174" t="s">
        <v>294</v>
      </c>
      <c r="M38" s="173" t="s">
        <v>239</v>
      </c>
      <c r="R38" s="43" t="s">
        <v>257</v>
      </c>
    </row>
    <row r="39">
      <c r="A39" s="14"/>
      <c r="B39" s="167">
        <v>1.1321056E7</v>
      </c>
      <c r="C39" s="168" t="s">
        <v>74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R39" s="43"/>
    </row>
    <row r="40">
      <c r="A40" s="18"/>
      <c r="B40" s="167">
        <v>1.1321057E7</v>
      </c>
      <c r="C40" s="168" t="s">
        <v>75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>
      <c r="A41" s="146">
        <v>14.0</v>
      </c>
      <c r="B41" s="147">
        <v>1.1321064E7</v>
      </c>
      <c r="C41" s="148" t="s">
        <v>76</v>
      </c>
      <c r="D41" s="149" t="s">
        <v>27</v>
      </c>
      <c r="E41" s="149" t="s">
        <v>77</v>
      </c>
      <c r="F41" s="150" t="s">
        <v>210</v>
      </c>
      <c r="G41" s="151" t="s">
        <v>30</v>
      </c>
      <c r="H41" s="146" t="s">
        <v>79</v>
      </c>
      <c r="I41" s="58" t="s">
        <v>23</v>
      </c>
      <c r="J41" s="58" t="s">
        <v>12</v>
      </c>
      <c r="K41" s="152" t="s">
        <v>295</v>
      </c>
      <c r="L41" s="152" t="s">
        <v>294</v>
      </c>
      <c r="M41" s="58" t="s">
        <v>239</v>
      </c>
      <c r="N41" s="83" t="s">
        <v>211</v>
      </c>
      <c r="S41" s="152" t="s">
        <v>295</v>
      </c>
      <c r="T41" s="152" t="s">
        <v>294</v>
      </c>
      <c r="U41" s="58" t="s">
        <v>239</v>
      </c>
    </row>
    <row r="42">
      <c r="A42" s="14"/>
      <c r="B42" s="147">
        <v>1.1321052E7</v>
      </c>
      <c r="C42" s="148" t="s">
        <v>80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O42" s="43" t="s">
        <v>191</v>
      </c>
      <c r="S42" s="14"/>
      <c r="T42" s="14"/>
      <c r="U42" s="14"/>
    </row>
    <row r="43">
      <c r="A43" s="18"/>
      <c r="B43" s="147">
        <v>1.1321014E7</v>
      </c>
      <c r="C43" s="148" t="s">
        <v>81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S43" s="18"/>
      <c r="T43" s="18"/>
      <c r="U43" s="18"/>
    </row>
    <row r="44">
      <c r="A44" s="123">
        <v>15.0</v>
      </c>
      <c r="B44" s="124">
        <v>1.1321043E7</v>
      </c>
      <c r="C44" s="125" t="s">
        <v>82</v>
      </c>
      <c r="D44" s="126" t="s">
        <v>9</v>
      </c>
      <c r="E44" s="126" t="s">
        <v>45</v>
      </c>
      <c r="F44" s="128" t="s">
        <v>212</v>
      </c>
      <c r="G44" s="129" t="s">
        <v>36</v>
      </c>
      <c r="H44" s="123" t="s">
        <v>79</v>
      </c>
      <c r="I44" s="80" t="s">
        <v>12</v>
      </c>
      <c r="J44" s="80" t="s">
        <v>30</v>
      </c>
      <c r="K44" s="103" t="s">
        <v>285</v>
      </c>
      <c r="L44" s="103" t="s">
        <v>296</v>
      </c>
      <c r="M44" s="80" t="s">
        <v>239</v>
      </c>
    </row>
    <row r="45">
      <c r="A45" s="14"/>
      <c r="B45" s="124">
        <v>1.1321073E7</v>
      </c>
      <c r="C45" s="125" t="s">
        <v>84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>
      <c r="A46" s="18"/>
      <c r="B46" s="124">
        <v>1.1321023E7</v>
      </c>
      <c r="C46" s="125" t="s">
        <v>85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>
      <c r="A47" s="123">
        <v>16.0</v>
      </c>
      <c r="B47" s="124">
        <v>1.1321008E7</v>
      </c>
      <c r="C47" s="125" t="s">
        <v>86</v>
      </c>
      <c r="D47" s="154" t="s">
        <v>27</v>
      </c>
      <c r="E47" s="126" t="s">
        <v>10</v>
      </c>
      <c r="F47" s="128" t="s">
        <v>165</v>
      </c>
      <c r="G47" s="129" t="s">
        <v>30</v>
      </c>
      <c r="H47" s="130"/>
      <c r="I47" s="80" t="s">
        <v>36</v>
      </c>
      <c r="J47" s="80" t="s">
        <v>12</v>
      </c>
      <c r="K47" s="103" t="s">
        <v>284</v>
      </c>
      <c r="L47" s="103" t="s">
        <v>292</v>
      </c>
      <c r="M47" s="80" t="s">
        <v>239</v>
      </c>
    </row>
    <row r="48">
      <c r="A48" s="14"/>
      <c r="B48" s="124">
        <v>1.1321019E7</v>
      </c>
      <c r="C48" s="125" t="s">
        <v>88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>
      <c r="A49" s="18"/>
      <c r="B49" s="124">
        <v>1.1321035E7</v>
      </c>
      <c r="C49" s="125" t="s">
        <v>89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43" t="s">
        <v>213</v>
      </c>
    </row>
    <row r="50">
      <c r="A50" s="123">
        <v>17.0</v>
      </c>
      <c r="B50" s="124">
        <v>1.1321037E7</v>
      </c>
      <c r="C50" s="125" t="s">
        <v>90</v>
      </c>
      <c r="D50" s="126" t="s">
        <v>9</v>
      </c>
      <c r="E50" s="126" t="s">
        <v>10</v>
      </c>
      <c r="F50" s="128" t="s">
        <v>214</v>
      </c>
      <c r="G50" s="129" t="s">
        <v>12</v>
      </c>
      <c r="H50" s="130"/>
      <c r="I50" s="80" t="s">
        <v>30</v>
      </c>
      <c r="J50" s="80" t="s">
        <v>36</v>
      </c>
      <c r="K50" s="103" t="s">
        <v>284</v>
      </c>
      <c r="L50" s="103" t="s">
        <v>296</v>
      </c>
      <c r="M50" s="80" t="s">
        <v>239</v>
      </c>
    </row>
    <row r="51">
      <c r="A51" s="14"/>
      <c r="B51" s="124">
        <v>1.1321024E7</v>
      </c>
      <c r="C51" s="125" t="s">
        <v>92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>
      <c r="A52" s="18"/>
      <c r="B52" s="124">
        <v>1.1321066E7</v>
      </c>
      <c r="C52" s="125" t="s">
        <v>93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>
      <c r="A53" s="123">
        <v>18.0</v>
      </c>
      <c r="B53" s="124">
        <v>1.1321002E7</v>
      </c>
      <c r="C53" s="125" t="s">
        <v>94</v>
      </c>
      <c r="D53" s="126" t="s">
        <v>95</v>
      </c>
      <c r="E53" s="126" t="s">
        <v>96</v>
      </c>
      <c r="F53" s="128" t="s">
        <v>215</v>
      </c>
      <c r="G53" s="129" t="s">
        <v>23</v>
      </c>
      <c r="H53" s="130"/>
      <c r="I53" s="80" t="s">
        <v>12</v>
      </c>
      <c r="J53" s="80" t="s">
        <v>36</v>
      </c>
      <c r="K53" s="103" t="s">
        <v>273</v>
      </c>
      <c r="L53" s="103" t="s">
        <v>296</v>
      </c>
      <c r="M53" s="80" t="s">
        <v>239</v>
      </c>
    </row>
    <row r="54">
      <c r="A54" s="14"/>
      <c r="B54" s="124">
        <v>1.1321017E7</v>
      </c>
      <c r="C54" s="125" t="s">
        <v>98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>
      <c r="A55" s="18"/>
      <c r="B55" s="124">
        <v>1.1321029E7</v>
      </c>
      <c r="C55" s="125" t="s">
        <v>99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>
      <c r="A56" s="123">
        <v>19.0</v>
      </c>
      <c r="B56" s="124">
        <v>1.1321009E7</v>
      </c>
      <c r="C56" s="125" t="s">
        <v>100</v>
      </c>
      <c r="D56" s="155" t="s">
        <v>20</v>
      </c>
      <c r="E56" s="126" t="s">
        <v>101</v>
      </c>
      <c r="F56" s="128" t="s">
        <v>216</v>
      </c>
      <c r="G56" s="129" t="s">
        <v>23</v>
      </c>
      <c r="H56" s="123" t="s">
        <v>16</v>
      </c>
      <c r="I56" s="80" t="s">
        <v>30</v>
      </c>
      <c r="J56" s="80" t="s">
        <v>36</v>
      </c>
      <c r="K56" s="103" t="s">
        <v>273</v>
      </c>
      <c r="L56" s="103" t="s">
        <v>292</v>
      </c>
      <c r="M56" s="80" t="s">
        <v>239</v>
      </c>
      <c r="N56" s="43" t="s">
        <v>217</v>
      </c>
    </row>
    <row r="57">
      <c r="A57" s="14"/>
      <c r="B57" s="124">
        <v>1.1321011E7</v>
      </c>
      <c r="C57" s="125" t="s">
        <v>103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43" t="s">
        <v>218</v>
      </c>
      <c r="R57" s="43" t="s">
        <v>297</v>
      </c>
    </row>
    <row r="58">
      <c r="A58" s="18"/>
      <c r="B58" s="124">
        <v>1.1321022E7</v>
      </c>
      <c r="C58" s="125" t="s">
        <v>104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>
      <c r="A59" s="114">
        <v>20.0</v>
      </c>
      <c r="B59" s="115">
        <v>1.1321001E7</v>
      </c>
      <c r="C59" s="116" t="s">
        <v>105</v>
      </c>
      <c r="D59" s="156" t="s">
        <v>50</v>
      </c>
      <c r="E59" s="117" t="s">
        <v>51</v>
      </c>
      <c r="F59" s="118" t="s">
        <v>298</v>
      </c>
      <c r="G59" s="119" t="s">
        <v>53</v>
      </c>
      <c r="H59" s="120"/>
      <c r="I59" s="121" t="s">
        <v>173</v>
      </c>
      <c r="J59" s="121" t="s">
        <v>23</v>
      </c>
      <c r="K59" s="122"/>
      <c r="L59" s="122"/>
      <c r="M59" s="121" t="s">
        <v>299</v>
      </c>
      <c r="N59" s="43" t="s">
        <v>219</v>
      </c>
      <c r="R59" s="179" t="s">
        <v>226</v>
      </c>
      <c r="S59" s="122" t="s">
        <v>300</v>
      </c>
      <c r="T59" s="122" t="s">
        <v>301</v>
      </c>
    </row>
    <row r="60">
      <c r="A60" s="14"/>
      <c r="B60" s="115">
        <v>1.1321031E7</v>
      </c>
      <c r="C60" s="116" t="s">
        <v>107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84"/>
      <c r="S60" s="14"/>
      <c r="T60" s="14"/>
    </row>
    <row r="61">
      <c r="A61" s="18"/>
      <c r="B61" s="115">
        <v>1.1321063E7</v>
      </c>
      <c r="C61" s="116" t="s">
        <v>108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S61" s="18"/>
      <c r="T61" s="18"/>
    </row>
    <row r="62">
      <c r="A62" s="166">
        <v>21.0</v>
      </c>
      <c r="B62" s="167">
        <v>1.1321012E7</v>
      </c>
      <c r="C62" s="168" t="s">
        <v>109</v>
      </c>
      <c r="D62" s="169" t="s">
        <v>9</v>
      </c>
      <c r="E62" s="169" t="s">
        <v>10</v>
      </c>
      <c r="F62" s="170" t="s">
        <v>220</v>
      </c>
      <c r="G62" s="166" t="s">
        <v>30</v>
      </c>
      <c r="H62" s="172"/>
      <c r="I62" s="173" t="s">
        <v>36</v>
      </c>
      <c r="J62" s="173" t="s">
        <v>12</v>
      </c>
      <c r="K62" s="174" t="s">
        <v>280</v>
      </c>
      <c r="L62" s="174" t="s">
        <v>292</v>
      </c>
      <c r="M62" s="173" t="s">
        <v>299</v>
      </c>
      <c r="N62" s="43" t="s">
        <v>221</v>
      </c>
      <c r="R62" s="180" t="s">
        <v>275</v>
      </c>
    </row>
    <row r="63">
      <c r="A63" s="14"/>
      <c r="B63" s="167">
        <v>1.1321061E7</v>
      </c>
      <c r="C63" s="168" t="s">
        <v>111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R63" s="181" t="s">
        <v>285</v>
      </c>
    </row>
    <row r="64">
      <c r="A64" s="18"/>
      <c r="B64" s="167">
        <v>1.1321067E7</v>
      </c>
      <c r="C64" s="168" t="s">
        <v>112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R64" s="181" t="s">
        <v>288</v>
      </c>
    </row>
    <row r="65">
      <c r="A65" s="166">
        <v>22.0</v>
      </c>
      <c r="B65" s="167">
        <v>1.1321003E7</v>
      </c>
      <c r="C65" s="168" t="s">
        <v>113</v>
      </c>
      <c r="D65" s="178" t="s">
        <v>27</v>
      </c>
      <c r="E65" s="169" t="s">
        <v>114</v>
      </c>
      <c r="F65" s="170" t="s">
        <v>179</v>
      </c>
      <c r="G65" s="171" t="s">
        <v>30</v>
      </c>
      <c r="H65" s="172"/>
      <c r="I65" s="173" t="s">
        <v>23</v>
      </c>
      <c r="J65" s="173" t="s">
        <v>36</v>
      </c>
      <c r="K65" s="174" t="s">
        <v>280</v>
      </c>
      <c r="L65" s="174" t="s">
        <v>296</v>
      </c>
      <c r="M65" s="173" t="s">
        <v>302</v>
      </c>
    </row>
    <row r="66">
      <c r="A66" s="14"/>
      <c r="B66" s="167">
        <v>1.1321006E7</v>
      </c>
      <c r="C66" s="168" t="s">
        <v>116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>
      <c r="A67" s="18"/>
      <c r="B67" s="167">
        <v>1.132102E7</v>
      </c>
      <c r="C67" s="168" t="s">
        <v>117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>
      <c r="A68" s="123">
        <v>23.0</v>
      </c>
      <c r="B68" s="124">
        <v>1.1321042E7</v>
      </c>
      <c r="C68" s="125" t="s">
        <v>303</v>
      </c>
      <c r="D68" s="126" t="s">
        <v>9</v>
      </c>
      <c r="E68" s="126" t="s">
        <v>10</v>
      </c>
      <c r="F68" s="128" t="s">
        <v>223</v>
      </c>
      <c r="G68" s="129" t="s">
        <v>36</v>
      </c>
      <c r="H68" s="130"/>
      <c r="I68" s="80" t="s">
        <v>30</v>
      </c>
      <c r="J68" s="80" t="s">
        <v>23</v>
      </c>
      <c r="K68" s="157" t="s">
        <v>276</v>
      </c>
      <c r="L68" s="103" t="s">
        <v>296</v>
      </c>
      <c r="M68" s="80" t="s">
        <v>239</v>
      </c>
      <c r="N68" s="70" t="s">
        <v>224</v>
      </c>
    </row>
    <row r="69">
      <c r="A69" s="14"/>
      <c r="B69" s="124">
        <v>1.1321049E7</v>
      </c>
      <c r="C69" s="125" t="s">
        <v>120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O69" s="43" t="s">
        <v>191</v>
      </c>
      <c r="P69" s="43" t="s">
        <v>225</v>
      </c>
    </row>
    <row r="70">
      <c r="A70" s="18"/>
      <c r="B70" s="124">
        <v>1.1321027E7</v>
      </c>
      <c r="C70" s="125" t="s">
        <v>121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P70" s="43" t="s">
        <v>227</v>
      </c>
    </row>
    <row r="71">
      <c r="A71" s="114">
        <v>24.0</v>
      </c>
      <c r="B71" s="115">
        <v>1.1321046E7</v>
      </c>
      <c r="C71" s="116" t="s">
        <v>122</v>
      </c>
      <c r="D71" s="156" t="s">
        <v>20</v>
      </c>
      <c r="E71" s="117" t="s">
        <v>21</v>
      </c>
      <c r="F71" s="118" t="s">
        <v>263</v>
      </c>
      <c r="G71" s="119" t="s">
        <v>23</v>
      </c>
      <c r="H71" s="120"/>
      <c r="I71" s="121" t="s">
        <v>36</v>
      </c>
      <c r="J71" s="121" t="s">
        <v>30</v>
      </c>
      <c r="K71" s="122" t="s">
        <v>276</v>
      </c>
      <c r="L71" s="122" t="s">
        <v>292</v>
      </c>
      <c r="M71" s="121" t="s">
        <v>239</v>
      </c>
    </row>
    <row r="72">
      <c r="A72" s="14"/>
      <c r="B72" s="115">
        <v>1.1321051E7</v>
      </c>
      <c r="C72" s="116" t="s">
        <v>124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>
      <c r="A73" s="18"/>
      <c r="B73" s="115">
        <v>1.1321065E7</v>
      </c>
      <c r="C73" s="116" t="s">
        <v>125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43" t="s">
        <v>229</v>
      </c>
      <c r="P73" s="43" t="s">
        <v>230</v>
      </c>
    </row>
    <row r="74">
      <c r="A74" s="182">
        <v>25.0</v>
      </c>
      <c r="B74" s="183">
        <v>1.1320055E7</v>
      </c>
      <c r="C74" s="183" t="s">
        <v>265</v>
      </c>
      <c r="D74" s="184"/>
      <c r="E74" s="184"/>
      <c r="F74" s="183" t="s">
        <v>266</v>
      </c>
      <c r="G74" s="182" t="s">
        <v>30</v>
      </c>
      <c r="H74" s="184"/>
      <c r="I74" s="185" t="s">
        <v>12</v>
      </c>
      <c r="J74" s="185" t="s">
        <v>36</v>
      </c>
      <c r="K74" s="186"/>
      <c r="L74" s="187"/>
      <c r="M74" s="185" t="s">
        <v>239</v>
      </c>
      <c r="R74" s="43" t="s">
        <v>304</v>
      </c>
      <c r="S74" s="186" t="s">
        <v>280</v>
      </c>
      <c r="T74" s="187" t="s">
        <v>292</v>
      </c>
    </row>
    <row r="75">
      <c r="K75" s="163"/>
      <c r="L75" s="163"/>
    </row>
    <row r="76">
      <c r="C76" s="43">
        <v>12.0</v>
      </c>
      <c r="F76" s="43" t="s">
        <v>69</v>
      </c>
      <c r="G76" s="43" t="s">
        <v>183</v>
      </c>
      <c r="H76" s="43" t="s">
        <v>184</v>
      </c>
      <c r="J76" s="43" t="s">
        <v>126</v>
      </c>
      <c r="K76" s="163"/>
      <c r="L76" s="164" t="s">
        <v>127</v>
      </c>
      <c r="S76" s="43" t="s">
        <v>267</v>
      </c>
    </row>
    <row r="77">
      <c r="F77" s="43" t="s">
        <v>231</v>
      </c>
      <c r="G77" s="43" t="s">
        <v>30</v>
      </c>
      <c r="H77" s="63">
        <f t="shared" ref="H77:H82" si="1">COUNTIF($G$2:$G$73, G77)</f>
        <v>6</v>
      </c>
      <c r="J77" s="43" t="s">
        <v>30</v>
      </c>
      <c r="K77" s="165">
        <v>8.0</v>
      </c>
      <c r="L77" s="164" t="s">
        <v>30</v>
      </c>
      <c r="M77" s="63">
        <f t="shared" ref="M77:M84" si="2">COUNTIF($J$2:$J$74, L77)</f>
        <v>5</v>
      </c>
      <c r="S77" s="63">
        <f t="shared" ref="S77:S83" si="3">K77+M77</f>
        <v>13</v>
      </c>
    </row>
    <row r="78">
      <c r="C78" s="43">
        <v>24.0</v>
      </c>
      <c r="F78" s="43" t="s">
        <v>123</v>
      </c>
      <c r="G78" s="43" t="s">
        <v>23</v>
      </c>
      <c r="H78" s="63">
        <f t="shared" si="1"/>
        <v>6</v>
      </c>
      <c r="J78" s="43" t="s">
        <v>23</v>
      </c>
      <c r="K78" s="165">
        <v>3.0</v>
      </c>
      <c r="L78" s="164" t="s">
        <v>23</v>
      </c>
      <c r="M78" s="63">
        <f t="shared" si="2"/>
        <v>8</v>
      </c>
      <c r="S78" s="63">
        <f t="shared" si="3"/>
        <v>11</v>
      </c>
    </row>
    <row r="79">
      <c r="F79" s="43" t="s">
        <v>232</v>
      </c>
      <c r="G79" s="43" t="s">
        <v>36</v>
      </c>
      <c r="H79" s="63">
        <f t="shared" si="1"/>
        <v>5</v>
      </c>
      <c r="J79" s="43" t="s">
        <v>36</v>
      </c>
      <c r="K79" s="165">
        <v>6.0</v>
      </c>
      <c r="L79" s="164" t="s">
        <v>36</v>
      </c>
      <c r="M79" s="63">
        <f t="shared" si="2"/>
        <v>6</v>
      </c>
      <c r="S79" s="63">
        <f t="shared" si="3"/>
        <v>12</v>
      </c>
    </row>
    <row r="80">
      <c r="F80" s="43" t="s">
        <v>228</v>
      </c>
      <c r="G80" s="43" t="s">
        <v>41</v>
      </c>
      <c r="H80" s="63">
        <f t="shared" si="1"/>
        <v>0</v>
      </c>
      <c r="J80" s="43" t="s">
        <v>41</v>
      </c>
      <c r="K80" s="165">
        <v>0.0</v>
      </c>
      <c r="L80" s="164" t="s">
        <v>41</v>
      </c>
      <c r="M80" s="63">
        <f t="shared" si="2"/>
        <v>0</v>
      </c>
      <c r="S80" s="63">
        <f t="shared" si="3"/>
        <v>0</v>
      </c>
    </row>
    <row r="81">
      <c r="C81" s="43">
        <v>21.0</v>
      </c>
      <c r="F81" s="43" t="s">
        <v>233</v>
      </c>
      <c r="G81" s="43" t="s">
        <v>12</v>
      </c>
      <c r="H81" s="63">
        <f t="shared" si="1"/>
        <v>5</v>
      </c>
      <c r="J81" s="43" t="s">
        <v>12</v>
      </c>
      <c r="K81" s="165">
        <v>6.0</v>
      </c>
      <c r="L81" s="164" t="s">
        <v>12</v>
      </c>
      <c r="M81" s="63">
        <f t="shared" si="2"/>
        <v>6</v>
      </c>
      <c r="S81" s="63">
        <f t="shared" si="3"/>
        <v>12</v>
      </c>
    </row>
    <row r="82">
      <c r="F82" s="86" t="s">
        <v>220</v>
      </c>
      <c r="G82" s="43" t="s">
        <v>53</v>
      </c>
      <c r="H82" s="63">
        <f t="shared" si="1"/>
        <v>2</v>
      </c>
      <c r="J82" s="43" t="s">
        <v>53</v>
      </c>
      <c r="K82" s="165">
        <v>0.0</v>
      </c>
      <c r="L82" s="164" t="s">
        <v>53</v>
      </c>
      <c r="M82" s="63">
        <f t="shared" si="2"/>
        <v>0</v>
      </c>
      <c r="S82" s="63">
        <f t="shared" si="3"/>
        <v>0</v>
      </c>
    </row>
    <row r="83">
      <c r="C83" s="43">
        <v>17.0</v>
      </c>
      <c r="F83" s="87" t="s">
        <v>234</v>
      </c>
      <c r="J83" s="43" t="s">
        <v>173</v>
      </c>
      <c r="K83" s="165">
        <v>1.0</v>
      </c>
      <c r="L83" s="164" t="s">
        <v>174</v>
      </c>
      <c r="M83" s="63">
        <f t="shared" si="2"/>
        <v>0</v>
      </c>
      <c r="S83" s="63">
        <f t="shared" si="3"/>
        <v>1</v>
      </c>
    </row>
    <row r="84">
      <c r="F84" s="43" t="s">
        <v>235</v>
      </c>
      <c r="K84" s="163"/>
      <c r="L84" s="163"/>
      <c r="M84" s="63">
        <f t="shared" si="2"/>
        <v>0</v>
      </c>
    </row>
    <row r="85">
      <c r="C85" s="43">
        <v>24.0</v>
      </c>
      <c r="F85" s="43" t="s">
        <v>236</v>
      </c>
      <c r="K85" s="163"/>
      <c r="L85" s="163"/>
    </row>
    <row r="86">
      <c r="F86" s="43" t="s">
        <v>228</v>
      </c>
      <c r="H86" s="63">
        <f>sum(H77:H82)</f>
        <v>24</v>
      </c>
      <c r="K86" s="165">
        <v>24.0</v>
      </c>
      <c r="L86" s="163"/>
      <c r="M86" s="63">
        <f>sum(M77:M83)</f>
        <v>25</v>
      </c>
    </row>
    <row r="87">
      <c r="G87" s="43" t="s">
        <v>7</v>
      </c>
      <c r="K87" s="163"/>
      <c r="L87" s="163"/>
    </row>
    <row r="88">
      <c r="G88" s="43" t="s">
        <v>16</v>
      </c>
      <c r="K88" s="163"/>
      <c r="L88" s="163"/>
    </row>
    <row r="89">
      <c r="C89" s="63">
        <v>22.0</v>
      </c>
      <c r="F89" s="63" t="s">
        <v>179</v>
      </c>
      <c r="G89" s="43" t="s">
        <v>79</v>
      </c>
      <c r="H89" s="188" t="s">
        <v>305</v>
      </c>
      <c r="K89" s="163"/>
      <c r="L89" s="163"/>
    </row>
    <row r="90">
      <c r="F90" s="63" t="s">
        <v>306</v>
      </c>
      <c r="K90" s="163"/>
      <c r="L90" s="163"/>
    </row>
    <row r="91">
      <c r="K91" s="163"/>
      <c r="L91" s="163"/>
    </row>
    <row r="92">
      <c r="K92" s="163"/>
      <c r="L92" s="163"/>
    </row>
    <row r="93">
      <c r="K93" s="163"/>
      <c r="L93" s="163"/>
    </row>
    <row r="94">
      <c r="K94" s="163"/>
      <c r="L94" s="163"/>
    </row>
    <row r="95">
      <c r="K95" s="163"/>
      <c r="L95" s="163"/>
    </row>
    <row r="96">
      <c r="K96" s="163"/>
      <c r="L96" s="163"/>
    </row>
    <row r="97">
      <c r="K97" s="163"/>
      <c r="L97" s="163"/>
    </row>
    <row r="98">
      <c r="K98" s="163"/>
      <c r="L98" s="163"/>
    </row>
    <row r="99">
      <c r="K99" s="163"/>
      <c r="L99" s="163"/>
    </row>
    <row r="100">
      <c r="K100" s="163"/>
      <c r="L100" s="163"/>
    </row>
    <row r="101">
      <c r="K101" s="163"/>
      <c r="L101" s="163"/>
    </row>
    <row r="102">
      <c r="K102" s="163"/>
      <c r="L102" s="163"/>
    </row>
    <row r="103">
      <c r="K103" s="163"/>
      <c r="L103" s="163"/>
    </row>
    <row r="104">
      <c r="K104" s="163"/>
      <c r="L104" s="163"/>
    </row>
    <row r="105">
      <c r="K105" s="163"/>
      <c r="L105" s="163"/>
    </row>
    <row r="106">
      <c r="K106" s="163"/>
      <c r="L106" s="163"/>
    </row>
    <row r="107">
      <c r="K107" s="163"/>
      <c r="L107" s="163"/>
    </row>
    <row r="108">
      <c r="K108" s="163"/>
      <c r="L108" s="163"/>
    </row>
    <row r="109">
      <c r="K109" s="163"/>
      <c r="L109" s="163"/>
    </row>
    <row r="110">
      <c r="K110" s="163"/>
      <c r="L110" s="163"/>
    </row>
    <row r="111">
      <c r="K111" s="163"/>
      <c r="L111" s="163"/>
    </row>
    <row r="112">
      <c r="K112" s="163"/>
      <c r="L112" s="163"/>
    </row>
    <row r="113">
      <c r="K113" s="163"/>
      <c r="L113" s="163"/>
    </row>
    <row r="114">
      <c r="K114" s="163"/>
      <c r="L114" s="163"/>
    </row>
    <row r="115">
      <c r="K115" s="163"/>
      <c r="L115" s="163"/>
    </row>
    <row r="116">
      <c r="K116" s="163"/>
      <c r="L116" s="163"/>
    </row>
    <row r="117">
      <c r="K117" s="163"/>
      <c r="L117" s="163"/>
    </row>
    <row r="118">
      <c r="K118" s="163"/>
      <c r="L118" s="163"/>
    </row>
    <row r="119">
      <c r="K119" s="163"/>
      <c r="L119" s="163"/>
    </row>
    <row r="120">
      <c r="K120" s="163"/>
      <c r="L120" s="163"/>
    </row>
    <row r="121">
      <c r="K121" s="163"/>
      <c r="L121" s="163"/>
    </row>
    <row r="122">
      <c r="K122" s="163"/>
      <c r="L122" s="163"/>
    </row>
    <row r="123">
      <c r="K123" s="163"/>
      <c r="L123" s="163"/>
    </row>
    <row r="124">
      <c r="K124" s="163"/>
      <c r="L124" s="163"/>
    </row>
    <row r="125">
      <c r="K125" s="163"/>
      <c r="L125" s="163"/>
    </row>
    <row r="126">
      <c r="K126" s="163"/>
      <c r="L126" s="163"/>
    </row>
    <row r="127">
      <c r="K127" s="163"/>
      <c r="L127" s="163"/>
    </row>
    <row r="128">
      <c r="K128" s="163"/>
      <c r="L128" s="163"/>
    </row>
    <row r="129">
      <c r="K129" s="163"/>
      <c r="L129" s="163"/>
    </row>
    <row r="130">
      <c r="K130" s="163"/>
      <c r="L130" s="163"/>
    </row>
    <row r="131">
      <c r="K131" s="163"/>
      <c r="L131" s="163"/>
    </row>
    <row r="132">
      <c r="K132" s="163"/>
      <c r="L132" s="163"/>
    </row>
    <row r="133">
      <c r="K133" s="163"/>
      <c r="L133" s="163"/>
    </row>
    <row r="134">
      <c r="K134" s="163"/>
      <c r="L134" s="163"/>
    </row>
    <row r="135">
      <c r="K135" s="163"/>
      <c r="L135" s="163"/>
    </row>
    <row r="136">
      <c r="K136" s="163"/>
      <c r="L136" s="163"/>
    </row>
    <row r="137">
      <c r="K137" s="163"/>
      <c r="L137" s="163"/>
    </row>
    <row r="138">
      <c r="K138" s="163"/>
      <c r="L138" s="163"/>
    </row>
    <row r="139">
      <c r="K139" s="163"/>
      <c r="L139" s="163"/>
    </row>
    <row r="140">
      <c r="K140" s="163"/>
      <c r="L140" s="163"/>
    </row>
    <row r="141">
      <c r="K141" s="163"/>
      <c r="L141" s="163"/>
    </row>
    <row r="142">
      <c r="K142" s="163"/>
      <c r="L142" s="163"/>
    </row>
    <row r="143">
      <c r="K143" s="163"/>
      <c r="L143" s="163"/>
    </row>
    <row r="144">
      <c r="K144" s="163"/>
      <c r="L144" s="163"/>
    </row>
    <row r="145">
      <c r="K145" s="163"/>
      <c r="L145" s="163"/>
    </row>
    <row r="146">
      <c r="K146" s="163"/>
      <c r="L146" s="163"/>
    </row>
    <row r="147">
      <c r="K147" s="163"/>
      <c r="L147" s="163"/>
    </row>
    <row r="148">
      <c r="K148" s="163"/>
      <c r="L148" s="163"/>
    </row>
    <row r="149">
      <c r="K149" s="163"/>
      <c r="L149" s="163"/>
    </row>
    <row r="150">
      <c r="K150" s="163"/>
      <c r="L150" s="163"/>
    </row>
    <row r="151">
      <c r="K151" s="163"/>
      <c r="L151" s="163"/>
    </row>
    <row r="152">
      <c r="K152" s="163"/>
      <c r="L152" s="163"/>
    </row>
    <row r="153">
      <c r="K153" s="163"/>
      <c r="L153" s="163"/>
    </row>
    <row r="154">
      <c r="K154" s="163"/>
      <c r="L154" s="163"/>
    </row>
    <row r="155">
      <c r="K155" s="163"/>
      <c r="L155" s="163"/>
    </row>
    <row r="156">
      <c r="K156" s="163"/>
      <c r="L156" s="163"/>
    </row>
    <row r="157">
      <c r="K157" s="163"/>
      <c r="L157" s="163"/>
    </row>
    <row r="158">
      <c r="K158" s="163"/>
      <c r="L158" s="163"/>
    </row>
    <row r="159">
      <c r="K159" s="163"/>
      <c r="L159" s="163"/>
    </row>
    <row r="160">
      <c r="K160" s="163"/>
      <c r="L160" s="163"/>
    </row>
    <row r="161">
      <c r="K161" s="163"/>
      <c r="L161" s="163"/>
    </row>
    <row r="162">
      <c r="K162" s="163"/>
      <c r="L162" s="163"/>
    </row>
    <row r="163">
      <c r="K163" s="163"/>
      <c r="L163" s="163"/>
    </row>
    <row r="164">
      <c r="K164" s="163"/>
      <c r="L164" s="163"/>
    </row>
    <row r="165">
      <c r="K165" s="163"/>
      <c r="L165" s="163"/>
    </row>
    <row r="166">
      <c r="K166" s="163"/>
      <c r="L166" s="163"/>
    </row>
    <row r="167">
      <c r="K167" s="163"/>
      <c r="L167" s="163"/>
    </row>
    <row r="168">
      <c r="K168" s="163"/>
      <c r="L168" s="163"/>
    </row>
    <row r="169">
      <c r="K169" s="163"/>
      <c r="L169" s="163"/>
    </row>
    <row r="170">
      <c r="K170" s="163"/>
      <c r="L170" s="163"/>
    </row>
    <row r="171">
      <c r="K171" s="163"/>
      <c r="L171" s="163"/>
    </row>
    <row r="172">
      <c r="K172" s="163"/>
      <c r="L172" s="163"/>
    </row>
    <row r="173">
      <c r="K173" s="163"/>
      <c r="L173" s="163"/>
    </row>
    <row r="174">
      <c r="K174" s="163"/>
      <c r="L174" s="163"/>
    </row>
    <row r="175">
      <c r="K175" s="163"/>
      <c r="L175" s="163"/>
    </row>
    <row r="176">
      <c r="K176" s="163"/>
      <c r="L176" s="163"/>
    </row>
    <row r="177">
      <c r="K177" s="163"/>
      <c r="L177" s="163"/>
    </row>
    <row r="178">
      <c r="K178" s="163"/>
      <c r="L178" s="163"/>
    </row>
    <row r="179">
      <c r="K179" s="163"/>
      <c r="L179" s="163"/>
    </row>
    <row r="180">
      <c r="K180" s="163"/>
      <c r="L180" s="163"/>
    </row>
    <row r="181">
      <c r="K181" s="163"/>
      <c r="L181" s="163"/>
    </row>
    <row r="182">
      <c r="K182" s="163"/>
      <c r="L182" s="163"/>
    </row>
    <row r="183">
      <c r="K183" s="163"/>
      <c r="L183" s="163"/>
    </row>
    <row r="184">
      <c r="K184" s="163"/>
      <c r="L184" s="163"/>
    </row>
    <row r="185">
      <c r="K185" s="163"/>
      <c r="L185" s="163"/>
    </row>
    <row r="186">
      <c r="K186" s="163"/>
      <c r="L186" s="163"/>
    </row>
    <row r="187">
      <c r="K187" s="163"/>
      <c r="L187" s="163"/>
    </row>
    <row r="188">
      <c r="K188" s="163"/>
      <c r="L188" s="163"/>
    </row>
    <row r="189">
      <c r="K189" s="163"/>
      <c r="L189" s="163"/>
    </row>
    <row r="190">
      <c r="K190" s="163"/>
      <c r="L190" s="163"/>
    </row>
    <row r="191">
      <c r="K191" s="163"/>
      <c r="L191" s="163"/>
    </row>
    <row r="192">
      <c r="K192" s="163"/>
      <c r="L192" s="163"/>
    </row>
    <row r="193">
      <c r="K193" s="163"/>
      <c r="L193" s="163"/>
    </row>
    <row r="194">
      <c r="K194" s="163"/>
      <c r="L194" s="163"/>
    </row>
    <row r="195">
      <c r="K195" s="163"/>
      <c r="L195" s="163"/>
    </row>
    <row r="196">
      <c r="K196" s="163"/>
      <c r="L196" s="163"/>
    </row>
    <row r="197">
      <c r="K197" s="163"/>
      <c r="L197" s="163"/>
    </row>
    <row r="198">
      <c r="K198" s="163"/>
      <c r="L198" s="163"/>
    </row>
    <row r="199">
      <c r="K199" s="163"/>
      <c r="L199" s="163"/>
    </row>
    <row r="200">
      <c r="K200" s="163"/>
      <c r="L200" s="163"/>
    </row>
    <row r="201">
      <c r="K201" s="163"/>
      <c r="L201" s="163"/>
    </row>
    <row r="202">
      <c r="K202" s="163"/>
      <c r="L202" s="163"/>
    </row>
    <row r="203">
      <c r="K203" s="163"/>
      <c r="L203" s="163"/>
    </row>
    <row r="204">
      <c r="K204" s="163"/>
      <c r="L204" s="163"/>
    </row>
    <row r="205">
      <c r="K205" s="163"/>
      <c r="L205" s="163"/>
    </row>
    <row r="206">
      <c r="K206" s="163"/>
      <c r="L206" s="163"/>
    </row>
    <row r="207">
      <c r="K207" s="163"/>
      <c r="L207" s="163"/>
    </row>
    <row r="208">
      <c r="K208" s="163"/>
      <c r="L208" s="163"/>
    </row>
    <row r="209">
      <c r="K209" s="163"/>
      <c r="L209" s="163"/>
    </row>
    <row r="210">
      <c r="K210" s="163"/>
      <c r="L210" s="163"/>
    </row>
    <row r="211">
      <c r="K211" s="163"/>
      <c r="L211" s="163"/>
    </row>
    <row r="212">
      <c r="K212" s="163"/>
      <c r="L212" s="163"/>
    </row>
    <row r="213">
      <c r="K213" s="163"/>
      <c r="L213" s="163"/>
    </row>
    <row r="214">
      <c r="K214" s="163"/>
      <c r="L214" s="163"/>
    </row>
    <row r="215">
      <c r="K215" s="163"/>
      <c r="L215" s="163"/>
    </row>
    <row r="216">
      <c r="K216" s="163"/>
      <c r="L216" s="163"/>
    </row>
    <row r="217">
      <c r="K217" s="163"/>
      <c r="L217" s="163"/>
    </row>
    <row r="218">
      <c r="K218" s="163"/>
      <c r="L218" s="163"/>
    </row>
    <row r="219">
      <c r="K219" s="163"/>
      <c r="L219" s="163"/>
    </row>
    <row r="220">
      <c r="K220" s="163"/>
      <c r="L220" s="163"/>
    </row>
    <row r="221">
      <c r="K221" s="163"/>
      <c r="L221" s="163"/>
    </row>
    <row r="222">
      <c r="K222" s="163"/>
      <c r="L222" s="163"/>
    </row>
    <row r="223">
      <c r="K223" s="163"/>
      <c r="L223" s="163"/>
    </row>
    <row r="224">
      <c r="K224" s="163"/>
      <c r="L224" s="163"/>
    </row>
    <row r="225">
      <c r="K225" s="163"/>
      <c r="L225" s="163"/>
    </row>
    <row r="226">
      <c r="K226" s="163"/>
      <c r="L226" s="163"/>
    </row>
    <row r="227">
      <c r="K227" s="163"/>
      <c r="L227" s="163"/>
    </row>
    <row r="228">
      <c r="K228" s="163"/>
      <c r="L228" s="163"/>
    </row>
    <row r="229">
      <c r="K229" s="163"/>
      <c r="L229" s="163"/>
    </row>
    <row r="230">
      <c r="K230" s="163"/>
      <c r="L230" s="163"/>
    </row>
    <row r="231">
      <c r="K231" s="163"/>
      <c r="L231" s="163"/>
    </row>
    <row r="232">
      <c r="K232" s="163"/>
      <c r="L232" s="163"/>
    </row>
    <row r="233">
      <c r="K233" s="163"/>
      <c r="L233" s="163"/>
    </row>
    <row r="234">
      <c r="K234" s="163"/>
      <c r="L234" s="163"/>
    </row>
    <row r="235">
      <c r="K235" s="163"/>
      <c r="L235" s="163"/>
    </row>
    <row r="236">
      <c r="K236" s="163"/>
      <c r="L236" s="163"/>
    </row>
    <row r="237">
      <c r="K237" s="163"/>
      <c r="L237" s="163"/>
    </row>
    <row r="238">
      <c r="K238" s="163"/>
      <c r="L238" s="163"/>
    </row>
    <row r="239">
      <c r="K239" s="163"/>
      <c r="L239" s="163"/>
    </row>
    <row r="240">
      <c r="K240" s="163"/>
      <c r="L240" s="163"/>
    </row>
    <row r="241">
      <c r="K241" s="163"/>
      <c r="L241" s="163"/>
    </row>
    <row r="242">
      <c r="K242" s="163"/>
      <c r="L242" s="163"/>
    </row>
    <row r="243">
      <c r="K243" s="163"/>
      <c r="L243" s="163"/>
    </row>
    <row r="244">
      <c r="K244" s="163"/>
      <c r="L244" s="163"/>
    </row>
    <row r="245">
      <c r="K245" s="163"/>
      <c r="L245" s="163"/>
    </row>
    <row r="246">
      <c r="K246" s="163"/>
      <c r="L246" s="163"/>
    </row>
    <row r="247">
      <c r="K247" s="163"/>
      <c r="L247" s="163"/>
    </row>
    <row r="248">
      <c r="K248" s="163"/>
      <c r="L248" s="163"/>
    </row>
    <row r="249">
      <c r="K249" s="163"/>
      <c r="L249" s="163"/>
    </row>
    <row r="250">
      <c r="K250" s="163"/>
      <c r="L250" s="163"/>
    </row>
    <row r="251">
      <c r="K251" s="163"/>
      <c r="L251" s="163"/>
    </row>
    <row r="252">
      <c r="K252" s="163"/>
      <c r="L252" s="163"/>
    </row>
    <row r="253">
      <c r="K253" s="163"/>
      <c r="L253" s="163"/>
    </row>
    <row r="254">
      <c r="K254" s="163"/>
      <c r="L254" s="163"/>
    </row>
    <row r="255">
      <c r="K255" s="163"/>
      <c r="L255" s="163"/>
    </row>
    <row r="256">
      <c r="K256" s="163"/>
      <c r="L256" s="163"/>
    </row>
    <row r="257">
      <c r="K257" s="163"/>
      <c r="L257" s="163"/>
    </row>
    <row r="258">
      <c r="K258" s="163"/>
      <c r="L258" s="163"/>
    </row>
    <row r="259">
      <c r="K259" s="163"/>
      <c r="L259" s="163"/>
    </row>
    <row r="260">
      <c r="K260" s="163"/>
      <c r="L260" s="163"/>
    </row>
    <row r="261">
      <c r="K261" s="163"/>
      <c r="L261" s="163"/>
    </row>
    <row r="262">
      <c r="K262" s="163"/>
      <c r="L262" s="163"/>
    </row>
    <row r="263">
      <c r="K263" s="163"/>
      <c r="L263" s="163"/>
    </row>
    <row r="264">
      <c r="K264" s="163"/>
      <c r="L264" s="163"/>
    </row>
    <row r="265">
      <c r="K265" s="163"/>
      <c r="L265" s="163"/>
    </row>
    <row r="266">
      <c r="K266" s="163"/>
      <c r="L266" s="163"/>
    </row>
    <row r="267">
      <c r="K267" s="163"/>
      <c r="L267" s="163"/>
    </row>
    <row r="268">
      <c r="K268" s="163"/>
      <c r="L268" s="163"/>
    </row>
    <row r="269">
      <c r="K269" s="163"/>
      <c r="L269" s="163"/>
    </row>
    <row r="270">
      <c r="K270" s="163"/>
      <c r="L270" s="163"/>
    </row>
    <row r="271">
      <c r="K271" s="163"/>
      <c r="L271" s="163"/>
    </row>
    <row r="272">
      <c r="K272" s="163"/>
      <c r="L272" s="163"/>
    </row>
    <row r="273">
      <c r="K273" s="163"/>
      <c r="L273" s="163"/>
    </row>
    <row r="274">
      <c r="K274" s="163"/>
      <c r="L274" s="163"/>
    </row>
    <row r="275">
      <c r="K275" s="163"/>
      <c r="L275" s="163"/>
    </row>
    <row r="276">
      <c r="K276" s="163"/>
      <c r="L276" s="163"/>
    </row>
    <row r="277">
      <c r="K277" s="163"/>
      <c r="L277" s="163"/>
    </row>
    <row r="278">
      <c r="K278" s="163"/>
      <c r="L278" s="163"/>
    </row>
    <row r="279">
      <c r="K279" s="163"/>
      <c r="L279" s="163"/>
    </row>
    <row r="280">
      <c r="K280" s="163"/>
      <c r="L280" s="163"/>
    </row>
    <row r="281">
      <c r="K281" s="163"/>
      <c r="L281" s="163"/>
    </row>
    <row r="282">
      <c r="K282" s="163"/>
      <c r="L282" s="163"/>
    </row>
    <row r="283">
      <c r="K283" s="163"/>
      <c r="L283" s="163"/>
    </row>
    <row r="284">
      <c r="K284" s="163"/>
      <c r="L284" s="163"/>
    </row>
    <row r="285">
      <c r="K285" s="163"/>
      <c r="L285" s="163"/>
    </row>
    <row r="286">
      <c r="K286" s="163"/>
      <c r="L286" s="163"/>
    </row>
    <row r="287">
      <c r="K287" s="163"/>
      <c r="L287" s="163"/>
    </row>
    <row r="288">
      <c r="K288" s="163"/>
      <c r="L288" s="163"/>
    </row>
    <row r="289">
      <c r="K289" s="163"/>
      <c r="L289" s="163"/>
    </row>
    <row r="290">
      <c r="K290" s="163"/>
      <c r="L290" s="163"/>
    </row>
    <row r="291">
      <c r="K291" s="163"/>
      <c r="L291" s="163"/>
    </row>
    <row r="292">
      <c r="K292" s="163"/>
      <c r="L292" s="163"/>
    </row>
    <row r="293">
      <c r="K293" s="163"/>
      <c r="L293" s="163"/>
    </row>
    <row r="294">
      <c r="K294" s="163"/>
      <c r="L294" s="163"/>
    </row>
    <row r="295">
      <c r="K295" s="163"/>
      <c r="L295" s="163"/>
    </row>
    <row r="296">
      <c r="K296" s="163"/>
      <c r="L296" s="163"/>
    </row>
    <row r="297">
      <c r="K297" s="163"/>
      <c r="L297" s="163"/>
    </row>
    <row r="298">
      <c r="K298" s="163"/>
      <c r="L298" s="163"/>
    </row>
    <row r="299">
      <c r="K299" s="163"/>
      <c r="L299" s="163"/>
    </row>
    <row r="300">
      <c r="K300" s="163"/>
      <c r="L300" s="163"/>
    </row>
    <row r="301">
      <c r="K301" s="163"/>
      <c r="L301" s="163"/>
    </row>
    <row r="302">
      <c r="K302" s="163"/>
      <c r="L302" s="163"/>
    </row>
    <row r="303">
      <c r="K303" s="163"/>
      <c r="L303" s="163"/>
    </row>
    <row r="304">
      <c r="K304" s="163"/>
      <c r="L304" s="163"/>
    </row>
    <row r="305">
      <c r="K305" s="163"/>
      <c r="L305" s="163"/>
    </row>
    <row r="306">
      <c r="K306" s="163"/>
      <c r="L306" s="163"/>
    </row>
    <row r="307">
      <c r="K307" s="163"/>
      <c r="L307" s="163"/>
    </row>
    <row r="308">
      <c r="K308" s="163"/>
      <c r="L308" s="163"/>
    </row>
    <row r="309">
      <c r="K309" s="163"/>
      <c r="L309" s="163"/>
    </row>
    <row r="310">
      <c r="K310" s="163"/>
      <c r="L310" s="163"/>
    </row>
    <row r="311">
      <c r="K311" s="163"/>
      <c r="L311" s="163"/>
    </row>
    <row r="312">
      <c r="K312" s="163"/>
      <c r="L312" s="163"/>
    </row>
    <row r="313">
      <c r="K313" s="163"/>
      <c r="L313" s="163"/>
    </row>
    <row r="314">
      <c r="K314" s="163"/>
      <c r="L314" s="163"/>
    </row>
    <row r="315">
      <c r="K315" s="163"/>
      <c r="L315" s="163"/>
    </row>
    <row r="316">
      <c r="K316" s="163"/>
      <c r="L316" s="163"/>
    </row>
    <row r="317">
      <c r="K317" s="163"/>
      <c r="L317" s="163"/>
    </row>
    <row r="318">
      <c r="K318" s="163"/>
      <c r="L318" s="163"/>
    </row>
    <row r="319">
      <c r="K319" s="163"/>
      <c r="L319" s="163"/>
    </row>
    <row r="320">
      <c r="K320" s="163"/>
      <c r="L320" s="163"/>
    </row>
    <row r="321">
      <c r="K321" s="163"/>
      <c r="L321" s="163"/>
    </row>
    <row r="322">
      <c r="K322" s="163"/>
      <c r="L322" s="163"/>
    </row>
    <row r="323">
      <c r="K323" s="163"/>
      <c r="L323" s="163"/>
    </row>
    <row r="324">
      <c r="K324" s="163"/>
      <c r="L324" s="163"/>
    </row>
    <row r="325">
      <c r="K325" s="163"/>
      <c r="L325" s="163"/>
    </row>
    <row r="326">
      <c r="K326" s="163"/>
      <c r="L326" s="163"/>
    </row>
    <row r="327">
      <c r="K327" s="163"/>
      <c r="L327" s="163"/>
    </row>
    <row r="328">
      <c r="K328" s="163"/>
      <c r="L328" s="163"/>
    </row>
    <row r="329">
      <c r="K329" s="163"/>
      <c r="L329" s="163"/>
    </row>
    <row r="330">
      <c r="K330" s="163"/>
      <c r="L330" s="163"/>
    </row>
    <row r="331">
      <c r="K331" s="163"/>
      <c r="L331" s="163"/>
    </row>
    <row r="332">
      <c r="K332" s="163"/>
      <c r="L332" s="163"/>
    </row>
    <row r="333">
      <c r="K333" s="163"/>
      <c r="L333" s="163"/>
    </row>
    <row r="334">
      <c r="K334" s="163"/>
      <c r="L334" s="163"/>
    </row>
    <row r="335">
      <c r="K335" s="163"/>
      <c r="L335" s="163"/>
    </row>
    <row r="336">
      <c r="K336" s="163"/>
      <c r="L336" s="163"/>
    </row>
    <row r="337">
      <c r="K337" s="163"/>
      <c r="L337" s="163"/>
    </row>
    <row r="338">
      <c r="K338" s="163"/>
      <c r="L338" s="163"/>
    </row>
    <row r="339">
      <c r="K339" s="163"/>
      <c r="L339" s="163"/>
    </row>
    <row r="340">
      <c r="K340" s="163"/>
      <c r="L340" s="163"/>
    </row>
    <row r="341">
      <c r="K341" s="163"/>
      <c r="L341" s="163"/>
    </row>
    <row r="342">
      <c r="K342" s="163"/>
      <c r="L342" s="163"/>
    </row>
    <row r="343">
      <c r="K343" s="163"/>
      <c r="L343" s="163"/>
    </row>
    <row r="344">
      <c r="K344" s="163"/>
      <c r="L344" s="163"/>
    </row>
    <row r="345">
      <c r="K345" s="163"/>
      <c r="L345" s="163"/>
    </row>
    <row r="346">
      <c r="K346" s="163"/>
      <c r="L346" s="163"/>
    </row>
    <row r="347">
      <c r="K347" s="163"/>
      <c r="L347" s="163"/>
    </row>
    <row r="348">
      <c r="K348" s="163"/>
      <c r="L348" s="163"/>
    </row>
    <row r="349">
      <c r="K349" s="163"/>
      <c r="L349" s="163"/>
    </row>
    <row r="350">
      <c r="K350" s="163"/>
      <c r="L350" s="163"/>
    </row>
    <row r="351">
      <c r="K351" s="163"/>
      <c r="L351" s="163"/>
    </row>
    <row r="352">
      <c r="K352" s="163"/>
      <c r="L352" s="163"/>
    </row>
    <row r="353">
      <c r="K353" s="163"/>
      <c r="L353" s="163"/>
    </row>
    <row r="354">
      <c r="K354" s="163"/>
      <c r="L354" s="163"/>
    </row>
    <row r="355">
      <c r="K355" s="163"/>
      <c r="L355" s="163"/>
    </row>
    <row r="356">
      <c r="K356" s="163"/>
      <c r="L356" s="163"/>
    </row>
    <row r="357">
      <c r="K357" s="163"/>
      <c r="L357" s="163"/>
    </row>
    <row r="358">
      <c r="K358" s="163"/>
      <c r="L358" s="163"/>
    </row>
    <row r="359">
      <c r="K359" s="163"/>
      <c r="L359" s="163"/>
    </row>
    <row r="360">
      <c r="K360" s="163"/>
      <c r="L360" s="163"/>
    </row>
    <row r="361">
      <c r="K361" s="163"/>
      <c r="L361" s="163"/>
    </row>
    <row r="362">
      <c r="K362" s="163"/>
      <c r="L362" s="163"/>
    </row>
    <row r="363">
      <c r="K363" s="163"/>
      <c r="L363" s="163"/>
    </row>
    <row r="364">
      <c r="K364" s="163"/>
      <c r="L364" s="163"/>
    </row>
    <row r="365">
      <c r="K365" s="163"/>
      <c r="L365" s="163"/>
    </row>
    <row r="366">
      <c r="K366" s="163"/>
      <c r="L366" s="163"/>
    </row>
    <row r="367">
      <c r="K367" s="163"/>
      <c r="L367" s="163"/>
    </row>
    <row r="368">
      <c r="K368" s="163"/>
      <c r="L368" s="163"/>
    </row>
    <row r="369">
      <c r="K369" s="163"/>
      <c r="L369" s="163"/>
    </row>
    <row r="370">
      <c r="K370" s="163"/>
      <c r="L370" s="163"/>
    </row>
    <row r="371">
      <c r="K371" s="163"/>
      <c r="L371" s="163"/>
    </row>
    <row r="372">
      <c r="K372" s="163"/>
      <c r="L372" s="163"/>
    </row>
    <row r="373">
      <c r="K373" s="163"/>
      <c r="L373" s="163"/>
    </row>
    <row r="374">
      <c r="K374" s="163"/>
      <c r="L374" s="163"/>
    </row>
    <row r="375">
      <c r="K375" s="163"/>
      <c r="L375" s="163"/>
    </row>
    <row r="376">
      <c r="K376" s="163"/>
      <c r="L376" s="163"/>
    </row>
    <row r="377">
      <c r="K377" s="163"/>
      <c r="L377" s="163"/>
    </row>
    <row r="378">
      <c r="K378" s="163"/>
      <c r="L378" s="163"/>
    </row>
    <row r="379">
      <c r="K379" s="163"/>
      <c r="L379" s="163"/>
    </row>
    <row r="380">
      <c r="K380" s="163"/>
      <c r="L380" s="163"/>
    </row>
    <row r="381">
      <c r="K381" s="163"/>
      <c r="L381" s="163"/>
    </row>
    <row r="382">
      <c r="K382" s="163"/>
      <c r="L382" s="163"/>
    </row>
    <row r="383">
      <c r="K383" s="163"/>
      <c r="L383" s="163"/>
    </row>
    <row r="384">
      <c r="K384" s="163"/>
      <c r="L384" s="163"/>
    </row>
    <row r="385">
      <c r="K385" s="163"/>
      <c r="L385" s="163"/>
    </row>
    <row r="386">
      <c r="K386" s="163"/>
      <c r="L386" s="163"/>
    </row>
    <row r="387">
      <c r="K387" s="163"/>
      <c r="L387" s="163"/>
    </row>
    <row r="388">
      <c r="K388" s="163"/>
      <c r="L388" s="163"/>
    </row>
    <row r="389">
      <c r="K389" s="163"/>
      <c r="L389" s="163"/>
    </row>
    <row r="390">
      <c r="K390" s="163"/>
      <c r="L390" s="163"/>
    </row>
    <row r="391">
      <c r="K391" s="163"/>
      <c r="L391" s="163"/>
    </row>
    <row r="392">
      <c r="K392" s="163"/>
      <c r="L392" s="163"/>
    </row>
    <row r="393">
      <c r="K393" s="163"/>
      <c r="L393" s="163"/>
    </row>
    <row r="394">
      <c r="K394" s="163"/>
      <c r="L394" s="163"/>
    </row>
    <row r="395">
      <c r="K395" s="163"/>
      <c r="L395" s="163"/>
    </row>
    <row r="396">
      <c r="K396" s="163"/>
      <c r="L396" s="163"/>
    </row>
    <row r="397">
      <c r="K397" s="163"/>
      <c r="L397" s="163"/>
    </row>
    <row r="398">
      <c r="K398" s="163"/>
      <c r="L398" s="163"/>
    </row>
    <row r="399">
      <c r="K399" s="163"/>
      <c r="L399" s="163"/>
    </row>
    <row r="400">
      <c r="K400" s="163"/>
      <c r="L400" s="163"/>
    </row>
    <row r="401">
      <c r="K401" s="163"/>
      <c r="L401" s="163"/>
    </row>
    <row r="402">
      <c r="K402" s="163"/>
      <c r="L402" s="163"/>
    </row>
    <row r="403">
      <c r="K403" s="163"/>
      <c r="L403" s="163"/>
    </row>
    <row r="404">
      <c r="K404" s="163"/>
      <c r="L404" s="163"/>
    </row>
    <row r="405">
      <c r="K405" s="163"/>
      <c r="L405" s="163"/>
    </row>
    <row r="406">
      <c r="K406" s="163"/>
      <c r="L406" s="163"/>
    </row>
    <row r="407">
      <c r="K407" s="163"/>
      <c r="L407" s="163"/>
    </row>
    <row r="408">
      <c r="K408" s="163"/>
      <c r="L408" s="163"/>
    </row>
    <row r="409">
      <c r="K409" s="163"/>
      <c r="L409" s="163"/>
    </row>
    <row r="410">
      <c r="K410" s="163"/>
      <c r="L410" s="163"/>
    </row>
    <row r="411">
      <c r="K411" s="163"/>
      <c r="L411" s="163"/>
    </row>
    <row r="412">
      <c r="K412" s="163"/>
      <c r="L412" s="163"/>
    </row>
    <row r="413">
      <c r="K413" s="163"/>
      <c r="L413" s="163"/>
    </row>
    <row r="414">
      <c r="K414" s="163"/>
      <c r="L414" s="163"/>
    </row>
    <row r="415">
      <c r="K415" s="163"/>
      <c r="L415" s="163"/>
    </row>
    <row r="416">
      <c r="K416" s="163"/>
      <c r="L416" s="163"/>
    </row>
    <row r="417">
      <c r="K417" s="163"/>
      <c r="L417" s="163"/>
    </row>
    <row r="418">
      <c r="K418" s="163"/>
      <c r="L418" s="163"/>
    </row>
    <row r="419">
      <c r="K419" s="163"/>
      <c r="L419" s="163"/>
    </row>
    <row r="420">
      <c r="K420" s="163"/>
      <c r="L420" s="163"/>
    </row>
    <row r="421">
      <c r="K421" s="163"/>
      <c r="L421" s="163"/>
    </row>
    <row r="422">
      <c r="K422" s="163"/>
      <c r="L422" s="163"/>
    </row>
    <row r="423">
      <c r="K423" s="163"/>
      <c r="L423" s="163"/>
    </row>
    <row r="424">
      <c r="K424" s="163"/>
      <c r="L424" s="163"/>
    </row>
    <row r="425">
      <c r="K425" s="163"/>
      <c r="L425" s="163"/>
    </row>
    <row r="426">
      <c r="K426" s="163"/>
      <c r="L426" s="163"/>
    </row>
    <row r="427">
      <c r="K427" s="163"/>
      <c r="L427" s="163"/>
    </row>
    <row r="428">
      <c r="K428" s="163"/>
      <c r="L428" s="163"/>
    </row>
    <row r="429">
      <c r="K429" s="163"/>
      <c r="L429" s="163"/>
    </row>
    <row r="430">
      <c r="K430" s="163"/>
      <c r="L430" s="163"/>
    </row>
    <row r="431">
      <c r="K431" s="163"/>
      <c r="L431" s="163"/>
    </row>
    <row r="432">
      <c r="K432" s="163"/>
      <c r="L432" s="163"/>
    </row>
    <row r="433">
      <c r="K433" s="163"/>
      <c r="L433" s="163"/>
    </row>
    <row r="434">
      <c r="K434" s="163"/>
      <c r="L434" s="163"/>
    </row>
    <row r="435">
      <c r="K435" s="163"/>
      <c r="L435" s="163"/>
    </row>
    <row r="436">
      <c r="K436" s="163"/>
      <c r="L436" s="163"/>
    </row>
    <row r="437">
      <c r="K437" s="163"/>
      <c r="L437" s="163"/>
    </row>
    <row r="438">
      <c r="K438" s="163"/>
      <c r="L438" s="163"/>
    </row>
    <row r="439">
      <c r="K439" s="163"/>
      <c r="L439" s="163"/>
    </row>
    <row r="440">
      <c r="K440" s="163"/>
      <c r="L440" s="163"/>
    </row>
    <row r="441">
      <c r="K441" s="163"/>
      <c r="L441" s="163"/>
    </row>
    <row r="442">
      <c r="K442" s="163"/>
      <c r="L442" s="163"/>
    </row>
    <row r="443">
      <c r="K443" s="163"/>
      <c r="L443" s="163"/>
    </row>
    <row r="444">
      <c r="K444" s="163"/>
      <c r="L444" s="163"/>
    </row>
    <row r="445">
      <c r="K445" s="163"/>
      <c r="L445" s="163"/>
    </row>
    <row r="446">
      <c r="K446" s="163"/>
      <c r="L446" s="163"/>
    </row>
    <row r="447">
      <c r="K447" s="163"/>
      <c r="L447" s="163"/>
    </row>
    <row r="448">
      <c r="K448" s="163"/>
      <c r="L448" s="163"/>
    </row>
    <row r="449">
      <c r="K449" s="163"/>
      <c r="L449" s="163"/>
    </row>
    <row r="450">
      <c r="K450" s="163"/>
      <c r="L450" s="163"/>
    </row>
    <row r="451">
      <c r="K451" s="163"/>
      <c r="L451" s="163"/>
    </row>
    <row r="452">
      <c r="K452" s="163"/>
      <c r="L452" s="163"/>
    </row>
    <row r="453">
      <c r="K453" s="163"/>
      <c r="L453" s="163"/>
    </row>
    <row r="454">
      <c r="K454" s="163"/>
      <c r="L454" s="163"/>
    </row>
    <row r="455">
      <c r="K455" s="163"/>
      <c r="L455" s="163"/>
    </row>
    <row r="456">
      <c r="K456" s="163"/>
      <c r="L456" s="163"/>
    </row>
    <row r="457">
      <c r="K457" s="163"/>
      <c r="L457" s="163"/>
    </row>
    <row r="458">
      <c r="K458" s="163"/>
      <c r="L458" s="163"/>
    </row>
    <row r="459">
      <c r="K459" s="163"/>
      <c r="L459" s="163"/>
    </row>
    <row r="460">
      <c r="K460" s="163"/>
      <c r="L460" s="163"/>
    </row>
    <row r="461">
      <c r="K461" s="163"/>
      <c r="L461" s="163"/>
    </row>
    <row r="462">
      <c r="K462" s="163"/>
      <c r="L462" s="163"/>
    </row>
    <row r="463">
      <c r="K463" s="163"/>
      <c r="L463" s="163"/>
    </row>
    <row r="464">
      <c r="K464" s="163"/>
      <c r="L464" s="163"/>
    </row>
    <row r="465">
      <c r="K465" s="163"/>
      <c r="L465" s="163"/>
    </row>
    <row r="466">
      <c r="K466" s="163"/>
      <c r="L466" s="163"/>
    </row>
    <row r="467">
      <c r="K467" s="163"/>
      <c r="L467" s="163"/>
    </row>
    <row r="468">
      <c r="K468" s="163"/>
      <c r="L468" s="163"/>
    </row>
    <row r="469">
      <c r="K469" s="163"/>
      <c r="L469" s="163"/>
    </row>
    <row r="470">
      <c r="K470" s="163"/>
      <c r="L470" s="163"/>
    </row>
    <row r="471">
      <c r="K471" s="163"/>
      <c r="L471" s="163"/>
    </row>
    <row r="472">
      <c r="K472" s="163"/>
      <c r="L472" s="163"/>
    </row>
    <row r="473">
      <c r="K473" s="163"/>
      <c r="L473" s="163"/>
    </row>
    <row r="474">
      <c r="K474" s="163"/>
      <c r="L474" s="163"/>
    </row>
    <row r="475">
      <c r="K475" s="163"/>
      <c r="L475" s="163"/>
    </row>
    <row r="476">
      <c r="K476" s="163"/>
      <c r="L476" s="163"/>
    </row>
    <row r="477">
      <c r="K477" s="163"/>
      <c r="L477" s="163"/>
    </row>
    <row r="478">
      <c r="K478" s="163"/>
      <c r="L478" s="163"/>
    </row>
    <row r="479">
      <c r="K479" s="163"/>
      <c r="L479" s="163"/>
    </row>
    <row r="480">
      <c r="K480" s="163"/>
      <c r="L480" s="163"/>
    </row>
    <row r="481">
      <c r="K481" s="163"/>
      <c r="L481" s="163"/>
    </row>
    <row r="482">
      <c r="K482" s="163"/>
      <c r="L482" s="163"/>
    </row>
    <row r="483">
      <c r="K483" s="163"/>
      <c r="L483" s="163"/>
    </row>
    <row r="484">
      <c r="K484" s="163"/>
      <c r="L484" s="163"/>
    </row>
    <row r="485">
      <c r="K485" s="163"/>
      <c r="L485" s="163"/>
    </row>
    <row r="486">
      <c r="K486" s="163"/>
      <c r="L486" s="163"/>
    </row>
    <row r="487">
      <c r="K487" s="163"/>
      <c r="L487" s="163"/>
    </row>
    <row r="488">
      <c r="K488" s="163"/>
      <c r="L488" s="163"/>
    </row>
    <row r="489">
      <c r="K489" s="163"/>
      <c r="L489" s="163"/>
    </row>
    <row r="490">
      <c r="K490" s="163"/>
      <c r="L490" s="163"/>
    </row>
    <row r="491">
      <c r="K491" s="163"/>
      <c r="L491" s="163"/>
    </row>
    <row r="492">
      <c r="K492" s="163"/>
      <c r="L492" s="163"/>
    </row>
    <row r="493">
      <c r="K493" s="163"/>
      <c r="L493" s="163"/>
    </row>
    <row r="494">
      <c r="K494" s="163"/>
      <c r="L494" s="163"/>
    </row>
    <row r="495">
      <c r="K495" s="163"/>
      <c r="L495" s="163"/>
    </row>
    <row r="496">
      <c r="K496" s="163"/>
      <c r="L496" s="163"/>
    </row>
    <row r="497">
      <c r="K497" s="163"/>
      <c r="L497" s="163"/>
    </row>
    <row r="498">
      <c r="K498" s="163"/>
      <c r="L498" s="163"/>
    </row>
    <row r="499">
      <c r="K499" s="163"/>
      <c r="L499" s="163"/>
    </row>
    <row r="500">
      <c r="K500" s="163"/>
      <c r="L500" s="163"/>
    </row>
    <row r="501">
      <c r="K501" s="163"/>
      <c r="L501" s="163"/>
    </row>
    <row r="502">
      <c r="K502" s="163"/>
      <c r="L502" s="163"/>
    </row>
    <row r="503">
      <c r="K503" s="163"/>
      <c r="L503" s="163"/>
    </row>
    <row r="504">
      <c r="K504" s="163"/>
      <c r="L504" s="163"/>
    </row>
    <row r="505">
      <c r="K505" s="163"/>
      <c r="L505" s="163"/>
    </row>
    <row r="506">
      <c r="K506" s="163"/>
      <c r="L506" s="163"/>
    </row>
    <row r="507">
      <c r="K507" s="163"/>
      <c r="L507" s="163"/>
    </row>
    <row r="508">
      <c r="K508" s="163"/>
      <c r="L508" s="163"/>
    </row>
    <row r="509">
      <c r="K509" s="163"/>
      <c r="L509" s="163"/>
    </row>
    <row r="510">
      <c r="K510" s="163"/>
      <c r="L510" s="163"/>
    </row>
    <row r="511">
      <c r="K511" s="163"/>
      <c r="L511" s="163"/>
    </row>
    <row r="512">
      <c r="K512" s="163"/>
      <c r="L512" s="163"/>
    </row>
    <row r="513">
      <c r="K513" s="163"/>
      <c r="L513" s="163"/>
    </row>
    <row r="514">
      <c r="K514" s="163"/>
      <c r="L514" s="163"/>
    </row>
    <row r="515">
      <c r="K515" s="163"/>
      <c r="L515" s="163"/>
    </row>
    <row r="516">
      <c r="K516" s="163"/>
      <c r="L516" s="163"/>
    </row>
    <row r="517">
      <c r="K517" s="163"/>
      <c r="L517" s="163"/>
    </row>
    <row r="518">
      <c r="K518" s="163"/>
      <c r="L518" s="163"/>
    </row>
    <row r="519">
      <c r="K519" s="163"/>
      <c r="L519" s="163"/>
    </row>
    <row r="520">
      <c r="K520" s="163"/>
      <c r="L520" s="163"/>
    </row>
    <row r="521">
      <c r="K521" s="163"/>
      <c r="L521" s="163"/>
    </row>
    <row r="522">
      <c r="K522" s="163"/>
      <c r="L522" s="163"/>
    </row>
    <row r="523">
      <c r="K523" s="163"/>
      <c r="L523" s="163"/>
    </row>
    <row r="524">
      <c r="K524" s="163"/>
      <c r="L524" s="163"/>
    </row>
    <row r="525">
      <c r="K525" s="163"/>
      <c r="L525" s="163"/>
    </row>
    <row r="526">
      <c r="K526" s="163"/>
      <c r="L526" s="163"/>
    </row>
    <row r="527">
      <c r="K527" s="163"/>
      <c r="L527" s="163"/>
    </row>
    <row r="528">
      <c r="K528" s="163"/>
      <c r="L528" s="163"/>
    </row>
    <row r="529">
      <c r="K529" s="163"/>
      <c r="L529" s="163"/>
    </row>
    <row r="530">
      <c r="K530" s="163"/>
      <c r="L530" s="163"/>
    </row>
    <row r="531">
      <c r="K531" s="163"/>
      <c r="L531" s="163"/>
    </row>
    <row r="532">
      <c r="K532" s="163"/>
      <c r="L532" s="163"/>
    </row>
    <row r="533">
      <c r="K533" s="163"/>
      <c r="L533" s="163"/>
    </row>
    <row r="534">
      <c r="K534" s="163"/>
      <c r="L534" s="163"/>
    </row>
    <row r="535">
      <c r="K535" s="163"/>
      <c r="L535" s="163"/>
    </row>
    <row r="536">
      <c r="K536" s="163"/>
      <c r="L536" s="163"/>
    </row>
    <row r="537">
      <c r="K537" s="163"/>
      <c r="L537" s="163"/>
    </row>
    <row r="538">
      <c r="K538" s="163"/>
      <c r="L538" s="163"/>
    </row>
    <row r="539">
      <c r="K539" s="163"/>
      <c r="L539" s="163"/>
    </row>
    <row r="540">
      <c r="K540" s="163"/>
      <c r="L540" s="163"/>
    </row>
    <row r="541">
      <c r="K541" s="163"/>
      <c r="L541" s="163"/>
    </row>
    <row r="542">
      <c r="K542" s="163"/>
      <c r="L542" s="163"/>
    </row>
    <row r="543">
      <c r="K543" s="163"/>
      <c r="L543" s="163"/>
    </row>
    <row r="544">
      <c r="K544" s="163"/>
      <c r="L544" s="163"/>
    </row>
    <row r="545">
      <c r="K545" s="163"/>
      <c r="L545" s="163"/>
    </row>
    <row r="546">
      <c r="K546" s="163"/>
      <c r="L546" s="163"/>
    </row>
    <row r="547">
      <c r="K547" s="163"/>
      <c r="L547" s="163"/>
    </row>
    <row r="548">
      <c r="K548" s="163"/>
      <c r="L548" s="163"/>
    </row>
    <row r="549">
      <c r="K549" s="163"/>
      <c r="L549" s="163"/>
    </row>
    <row r="550">
      <c r="K550" s="163"/>
      <c r="L550" s="163"/>
    </row>
    <row r="551">
      <c r="K551" s="163"/>
      <c r="L551" s="163"/>
    </row>
    <row r="552">
      <c r="K552" s="163"/>
      <c r="L552" s="163"/>
    </row>
    <row r="553">
      <c r="K553" s="163"/>
      <c r="L553" s="163"/>
    </row>
    <row r="554">
      <c r="K554" s="163"/>
      <c r="L554" s="163"/>
    </row>
    <row r="555">
      <c r="K555" s="163"/>
      <c r="L555" s="163"/>
    </row>
    <row r="556">
      <c r="K556" s="163"/>
      <c r="L556" s="163"/>
    </row>
    <row r="557">
      <c r="K557" s="163"/>
      <c r="L557" s="163"/>
    </row>
    <row r="558">
      <c r="K558" s="163"/>
      <c r="L558" s="163"/>
    </row>
    <row r="559">
      <c r="K559" s="163"/>
      <c r="L559" s="163"/>
    </row>
    <row r="560">
      <c r="K560" s="163"/>
      <c r="L560" s="163"/>
    </row>
    <row r="561">
      <c r="K561" s="163"/>
      <c r="L561" s="163"/>
    </row>
    <row r="562">
      <c r="K562" s="163"/>
      <c r="L562" s="163"/>
    </row>
    <row r="563">
      <c r="K563" s="163"/>
      <c r="L563" s="163"/>
    </row>
    <row r="564">
      <c r="K564" s="163"/>
      <c r="L564" s="163"/>
    </row>
    <row r="565">
      <c r="K565" s="163"/>
      <c r="L565" s="163"/>
    </row>
    <row r="566">
      <c r="K566" s="163"/>
      <c r="L566" s="163"/>
    </row>
    <row r="567">
      <c r="K567" s="163"/>
      <c r="L567" s="163"/>
    </row>
    <row r="568">
      <c r="K568" s="163"/>
      <c r="L568" s="163"/>
    </row>
    <row r="569">
      <c r="K569" s="163"/>
      <c r="L569" s="163"/>
    </row>
    <row r="570">
      <c r="K570" s="163"/>
      <c r="L570" s="163"/>
    </row>
    <row r="571">
      <c r="K571" s="163"/>
      <c r="L571" s="163"/>
    </row>
    <row r="572">
      <c r="K572" s="163"/>
      <c r="L572" s="163"/>
    </row>
    <row r="573">
      <c r="K573" s="163"/>
      <c r="L573" s="163"/>
    </row>
    <row r="574">
      <c r="K574" s="163"/>
      <c r="L574" s="163"/>
    </row>
    <row r="575">
      <c r="K575" s="163"/>
      <c r="L575" s="163"/>
    </row>
    <row r="576">
      <c r="K576" s="163"/>
      <c r="L576" s="163"/>
    </row>
    <row r="577">
      <c r="K577" s="163"/>
      <c r="L577" s="163"/>
    </row>
    <row r="578">
      <c r="K578" s="163"/>
      <c r="L578" s="163"/>
    </row>
    <row r="579">
      <c r="K579" s="163"/>
      <c r="L579" s="163"/>
    </row>
    <row r="580">
      <c r="K580" s="163"/>
      <c r="L580" s="163"/>
    </row>
    <row r="581">
      <c r="K581" s="163"/>
      <c r="L581" s="163"/>
    </row>
    <row r="582">
      <c r="K582" s="163"/>
      <c r="L582" s="163"/>
    </row>
    <row r="583">
      <c r="K583" s="163"/>
      <c r="L583" s="163"/>
    </row>
    <row r="584">
      <c r="K584" s="163"/>
      <c r="L584" s="163"/>
    </row>
    <row r="585">
      <c r="K585" s="163"/>
      <c r="L585" s="163"/>
    </row>
    <row r="586">
      <c r="K586" s="163"/>
      <c r="L586" s="163"/>
    </row>
    <row r="587">
      <c r="K587" s="163"/>
      <c r="L587" s="163"/>
    </row>
    <row r="588">
      <c r="K588" s="163"/>
      <c r="L588" s="163"/>
    </row>
    <row r="589">
      <c r="K589" s="163"/>
      <c r="L589" s="163"/>
    </row>
    <row r="590">
      <c r="K590" s="163"/>
      <c r="L590" s="163"/>
    </row>
    <row r="591">
      <c r="K591" s="163"/>
      <c r="L591" s="163"/>
    </row>
    <row r="592">
      <c r="K592" s="163"/>
      <c r="L592" s="163"/>
    </row>
    <row r="593">
      <c r="K593" s="163"/>
      <c r="L593" s="163"/>
    </row>
    <row r="594">
      <c r="K594" s="163"/>
      <c r="L594" s="163"/>
    </row>
    <row r="595">
      <c r="K595" s="163"/>
      <c r="L595" s="163"/>
    </row>
    <row r="596">
      <c r="K596" s="163"/>
      <c r="L596" s="163"/>
    </row>
    <row r="597">
      <c r="K597" s="163"/>
      <c r="L597" s="163"/>
    </row>
    <row r="598">
      <c r="K598" s="163"/>
      <c r="L598" s="163"/>
    </row>
    <row r="599">
      <c r="K599" s="163"/>
      <c r="L599" s="163"/>
    </row>
    <row r="600">
      <c r="K600" s="163"/>
      <c r="L600" s="163"/>
    </row>
    <row r="601">
      <c r="K601" s="163"/>
      <c r="L601" s="163"/>
    </row>
    <row r="602">
      <c r="K602" s="163"/>
      <c r="L602" s="163"/>
    </row>
    <row r="603">
      <c r="K603" s="163"/>
      <c r="L603" s="163"/>
    </row>
    <row r="604">
      <c r="K604" s="163"/>
      <c r="L604" s="163"/>
    </row>
    <row r="605">
      <c r="K605" s="163"/>
      <c r="L605" s="163"/>
    </row>
    <row r="606">
      <c r="K606" s="163"/>
      <c r="L606" s="163"/>
    </row>
    <row r="607">
      <c r="K607" s="163"/>
      <c r="L607" s="163"/>
    </row>
    <row r="608">
      <c r="K608" s="163"/>
      <c r="L608" s="163"/>
    </row>
    <row r="609">
      <c r="K609" s="163"/>
      <c r="L609" s="163"/>
    </row>
    <row r="610">
      <c r="K610" s="163"/>
      <c r="L610" s="163"/>
    </row>
    <row r="611">
      <c r="K611" s="163"/>
      <c r="L611" s="163"/>
    </row>
    <row r="612">
      <c r="K612" s="163"/>
      <c r="L612" s="163"/>
    </row>
    <row r="613">
      <c r="K613" s="163"/>
      <c r="L613" s="163"/>
    </row>
    <row r="614">
      <c r="K614" s="163"/>
      <c r="L614" s="163"/>
    </row>
    <row r="615">
      <c r="K615" s="163"/>
      <c r="L615" s="163"/>
    </row>
    <row r="616">
      <c r="K616" s="163"/>
      <c r="L616" s="163"/>
    </row>
    <row r="617">
      <c r="K617" s="163"/>
      <c r="L617" s="163"/>
    </row>
    <row r="618">
      <c r="K618" s="163"/>
      <c r="L618" s="163"/>
    </row>
    <row r="619">
      <c r="K619" s="163"/>
      <c r="L619" s="163"/>
    </row>
    <row r="620">
      <c r="K620" s="163"/>
      <c r="L620" s="163"/>
    </row>
    <row r="621">
      <c r="K621" s="163"/>
      <c r="L621" s="163"/>
    </row>
    <row r="622">
      <c r="K622" s="163"/>
      <c r="L622" s="163"/>
    </row>
    <row r="623">
      <c r="K623" s="163"/>
      <c r="L623" s="163"/>
    </row>
    <row r="624">
      <c r="K624" s="163"/>
      <c r="L624" s="163"/>
    </row>
    <row r="625">
      <c r="K625" s="163"/>
      <c r="L625" s="163"/>
    </row>
    <row r="626">
      <c r="K626" s="163"/>
      <c r="L626" s="163"/>
    </row>
    <row r="627">
      <c r="K627" s="163"/>
      <c r="L627" s="163"/>
    </row>
    <row r="628">
      <c r="K628" s="163"/>
      <c r="L628" s="163"/>
    </row>
    <row r="629">
      <c r="K629" s="163"/>
      <c r="L629" s="163"/>
    </row>
    <row r="630">
      <c r="K630" s="163"/>
      <c r="L630" s="163"/>
    </row>
    <row r="631">
      <c r="K631" s="163"/>
      <c r="L631" s="163"/>
    </row>
    <row r="632">
      <c r="K632" s="163"/>
      <c r="L632" s="163"/>
    </row>
    <row r="633">
      <c r="K633" s="163"/>
      <c r="L633" s="163"/>
    </row>
    <row r="634">
      <c r="K634" s="163"/>
      <c r="L634" s="163"/>
    </row>
    <row r="635">
      <c r="K635" s="163"/>
      <c r="L635" s="163"/>
    </row>
    <row r="636">
      <c r="K636" s="163"/>
      <c r="L636" s="163"/>
    </row>
    <row r="637">
      <c r="K637" s="163"/>
      <c r="L637" s="163"/>
    </row>
    <row r="638">
      <c r="K638" s="163"/>
      <c r="L638" s="163"/>
    </row>
    <row r="639">
      <c r="K639" s="163"/>
      <c r="L639" s="163"/>
    </row>
    <row r="640">
      <c r="K640" s="163"/>
      <c r="L640" s="163"/>
    </row>
    <row r="641">
      <c r="K641" s="163"/>
      <c r="L641" s="163"/>
    </row>
    <row r="642">
      <c r="K642" s="163"/>
      <c r="L642" s="163"/>
    </row>
    <row r="643">
      <c r="K643" s="163"/>
      <c r="L643" s="163"/>
    </row>
    <row r="644">
      <c r="K644" s="163"/>
      <c r="L644" s="163"/>
    </row>
    <row r="645">
      <c r="K645" s="163"/>
      <c r="L645" s="163"/>
    </row>
    <row r="646">
      <c r="K646" s="163"/>
      <c r="L646" s="163"/>
    </row>
    <row r="647">
      <c r="K647" s="163"/>
      <c r="L647" s="163"/>
    </row>
    <row r="648">
      <c r="K648" s="163"/>
      <c r="L648" s="163"/>
    </row>
    <row r="649">
      <c r="K649" s="163"/>
      <c r="L649" s="163"/>
    </row>
    <row r="650">
      <c r="K650" s="163"/>
      <c r="L650" s="163"/>
    </row>
    <row r="651">
      <c r="K651" s="163"/>
      <c r="L651" s="163"/>
    </row>
    <row r="652">
      <c r="K652" s="163"/>
      <c r="L652" s="163"/>
    </row>
    <row r="653">
      <c r="K653" s="163"/>
      <c r="L653" s="163"/>
    </row>
    <row r="654">
      <c r="K654" s="163"/>
      <c r="L654" s="163"/>
    </row>
    <row r="655">
      <c r="K655" s="163"/>
      <c r="L655" s="163"/>
    </row>
    <row r="656">
      <c r="K656" s="163"/>
      <c r="L656" s="163"/>
    </row>
    <row r="657">
      <c r="K657" s="163"/>
      <c r="L657" s="163"/>
    </row>
    <row r="658">
      <c r="K658" s="163"/>
      <c r="L658" s="163"/>
    </row>
    <row r="659">
      <c r="K659" s="163"/>
      <c r="L659" s="163"/>
    </row>
    <row r="660">
      <c r="K660" s="163"/>
      <c r="L660" s="163"/>
    </row>
    <row r="661">
      <c r="K661" s="163"/>
      <c r="L661" s="163"/>
    </row>
    <row r="662">
      <c r="K662" s="163"/>
      <c r="L662" s="163"/>
    </row>
    <row r="663">
      <c r="K663" s="163"/>
      <c r="L663" s="163"/>
    </row>
    <row r="664">
      <c r="K664" s="163"/>
      <c r="L664" s="163"/>
    </row>
    <row r="665">
      <c r="K665" s="163"/>
      <c r="L665" s="163"/>
    </row>
    <row r="666">
      <c r="K666" s="163"/>
      <c r="L666" s="163"/>
    </row>
    <row r="667">
      <c r="K667" s="163"/>
      <c r="L667" s="163"/>
    </row>
    <row r="668">
      <c r="K668" s="163"/>
      <c r="L668" s="163"/>
    </row>
    <row r="669">
      <c r="K669" s="163"/>
      <c r="L669" s="163"/>
    </row>
    <row r="670">
      <c r="K670" s="163"/>
      <c r="L670" s="163"/>
    </row>
    <row r="671">
      <c r="K671" s="163"/>
      <c r="L671" s="163"/>
    </row>
    <row r="672">
      <c r="K672" s="163"/>
      <c r="L672" s="163"/>
    </row>
    <row r="673">
      <c r="K673" s="163"/>
      <c r="L673" s="163"/>
    </row>
    <row r="674">
      <c r="K674" s="163"/>
      <c r="L674" s="163"/>
    </row>
    <row r="675">
      <c r="K675" s="163"/>
      <c r="L675" s="163"/>
    </row>
    <row r="676">
      <c r="K676" s="163"/>
      <c r="L676" s="163"/>
    </row>
    <row r="677">
      <c r="K677" s="163"/>
      <c r="L677" s="163"/>
    </row>
    <row r="678">
      <c r="K678" s="163"/>
      <c r="L678" s="163"/>
    </row>
    <row r="679">
      <c r="K679" s="163"/>
      <c r="L679" s="163"/>
    </row>
    <row r="680">
      <c r="K680" s="163"/>
      <c r="L680" s="163"/>
    </row>
    <row r="681">
      <c r="K681" s="163"/>
      <c r="L681" s="163"/>
    </row>
    <row r="682">
      <c r="K682" s="163"/>
      <c r="L682" s="163"/>
    </row>
    <row r="683">
      <c r="K683" s="163"/>
      <c r="L683" s="163"/>
    </row>
    <row r="684">
      <c r="K684" s="163"/>
      <c r="L684" s="163"/>
    </row>
    <row r="685">
      <c r="K685" s="163"/>
      <c r="L685" s="163"/>
    </row>
    <row r="686">
      <c r="K686" s="163"/>
      <c r="L686" s="163"/>
    </row>
    <row r="687">
      <c r="K687" s="163"/>
      <c r="L687" s="163"/>
    </row>
    <row r="688">
      <c r="K688" s="163"/>
      <c r="L688" s="163"/>
    </row>
    <row r="689">
      <c r="K689" s="163"/>
      <c r="L689" s="163"/>
    </row>
    <row r="690">
      <c r="K690" s="163"/>
      <c r="L690" s="163"/>
    </row>
    <row r="691">
      <c r="K691" s="163"/>
      <c r="L691" s="163"/>
    </row>
    <row r="692">
      <c r="K692" s="163"/>
      <c r="L692" s="163"/>
    </row>
    <row r="693">
      <c r="K693" s="163"/>
      <c r="L693" s="163"/>
    </row>
    <row r="694">
      <c r="K694" s="163"/>
      <c r="L694" s="163"/>
    </row>
    <row r="695">
      <c r="K695" s="163"/>
      <c r="L695" s="163"/>
    </row>
    <row r="696">
      <c r="K696" s="163"/>
      <c r="L696" s="163"/>
    </row>
    <row r="697">
      <c r="K697" s="163"/>
      <c r="L697" s="163"/>
    </row>
    <row r="698">
      <c r="K698" s="163"/>
      <c r="L698" s="163"/>
    </row>
    <row r="699">
      <c r="K699" s="163"/>
      <c r="L699" s="163"/>
    </row>
    <row r="700">
      <c r="K700" s="163"/>
      <c r="L700" s="163"/>
    </row>
    <row r="701">
      <c r="K701" s="163"/>
      <c r="L701" s="163"/>
    </row>
    <row r="702">
      <c r="K702" s="163"/>
      <c r="L702" s="163"/>
    </row>
    <row r="703">
      <c r="K703" s="163"/>
      <c r="L703" s="163"/>
    </row>
    <row r="704">
      <c r="K704" s="163"/>
      <c r="L704" s="163"/>
    </row>
    <row r="705">
      <c r="K705" s="163"/>
      <c r="L705" s="163"/>
    </row>
    <row r="706">
      <c r="K706" s="163"/>
      <c r="L706" s="163"/>
    </row>
    <row r="707">
      <c r="K707" s="163"/>
      <c r="L707" s="163"/>
    </row>
    <row r="708">
      <c r="K708" s="163"/>
      <c r="L708" s="163"/>
    </row>
    <row r="709">
      <c r="K709" s="163"/>
      <c r="L709" s="163"/>
    </row>
    <row r="710">
      <c r="K710" s="163"/>
      <c r="L710" s="163"/>
    </row>
    <row r="711">
      <c r="K711" s="163"/>
      <c r="L711" s="163"/>
    </row>
    <row r="712">
      <c r="K712" s="163"/>
      <c r="L712" s="163"/>
    </row>
    <row r="713">
      <c r="K713" s="163"/>
      <c r="L713" s="163"/>
    </row>
    <row r="714">
      <c r="K714" s="163"/>
      <c r="L714" s="163"/>
    </row>
    <row r="715">
      <c r="K715" s="163"/>
      <c r="L715" s="163"/>
    </row>
    <row r="716">
      <c r="K716" s="163"/>
      <c r="L716" s="163"/>
    </row>
    <row r="717">
      <c r="K717" s="163"/>
      <c r="L717" s="163"/>
    </row>
    <row r="718">
      <c r="K718" s="163"/>
      <c r="L718" s="163"/>
    </row>
    <row r="719">
      <c r="K719" s="163"/>
      <c r="L719" s="163"/>
    </row>
    <row r="720">
      <c r="K720" s="163"/>
      <c r="L720" s="163"/>
    </row>
    <row r="721">
      <c r="K721" s="163"/>
      <c r="L721" s="163"/>
    </row>
    <row r="722">
      <c r="K722" s="163"/>
      <c r="L722" s="163"/>
    </row>
    <row r="723">
      <c r="K723" s="163"/>
      <c r="L723" s="163"/>
    </row>
    <row r="724">
      <c r="K724" s="163"/>
      <c r="L724" s="163"/>
    </row>
    <row r="725">
      <c r="K725" s="163"/>
      <c r="L725" s="163"/>
    </row>
    <row r="726">
      <c r="K726" s="163"/>
      <c r="L726" s="163"/>
    </row>
    <row r="727">
      <c r="K727" s="163"/>
      <c r="L727" s="163"/>
    </row>
    <row r="728">
      <c r="K728" s="163"/>
      <c r="L728" s="163"/>
    </row>
    <row r="729">
      <c r="K729" s="163"/>
      <c r="L729" s="163"/>
    </row>
    <row r="730">
      <c r="K730" s="163"/>
      <c r="L730" s="163"/>
    </row>
    <row r="731">
      <c r="K731" s="163"/>
      <c r="L731" s="163"/>
    </row>
    <row r="732">
      <c r="K732" s="163"/>
      <c r="L732" s="163"/>
    </row>
    <row r="733">
      <c r="K733" s="163"/>
      <c r="L733" s="163"/>
    </row>
    <row r="734">
      <c r="K734" s="163"/>
      <c r="L734" s="163"/>
    </row>
    <row r="735">
      <c r="K735" s="163"/>
      <c r="L735" s="163"/>
    </row>
    <row r="736">
      <c r="K736" s="163"/>
      <c r="L736" s="163"/>
    </row>
    <row r="737">
      <c r="K737" s="163"/>
      <c r="L737" s="163"/>
    </row>
    <row r="738">
      <c r="K738" s="163"/>
      <c r="L738" s="163"/>
    </row>
    <row r="739">
      <c r="K739" s="163"/>
      <c r="L739" s="163"/>
    </row>
    <row r="740">
      <c r="K740" s="163"/>
      <c r="L740" s="163"/>
    </row>
    <row r="741">
      <c r="K741" s="163"/>
      <c r="L741" s="163"/>
    </row>
    <row r="742">
      <c r="K742" s="163"/>
      <c r="L742" s="163"/>
    </row>
    <row r="743">
      <c r="K743" s="163"/>
      <c r="L743" s="163"/>
    </row>
    <row r="744">
      <c r="K744" s="163"/>
      <c r="L744" s="163"/>
    </row>
    <row r="745">
      <c r="K745" s="163"/>
      <c r="L745" s="163"/>
    </row>
    <row r="746">
      <c r="K746" s="163"/>
      <c r="L746" s="163"/>
    </row>
    <row r="747">
      <c r="K747" s="163"/>
      <c r="L747" s="163"/>
    </row>
    <row r="748">
      <c r="K748" s="163"/>
      <c r="L748" s="163"/>
    </row>
    <row r="749">
      <c r="K749" s="163"/>
      <c r="L749" s="163"/>
    </row>
    <row r="750">
      <c r="K750" s="163"/>
      <c r="L750" s="163"/>
    </row>
    <row r="751">
      <c r="K751" s="163"/>
      <c r="L751" s="163"/>
    </row>
    <row r="752">
      <c r="K752" s="163"/>
      <c r="L752" s="163"/>
    </row>
    <row r="753">
      <c r="K753" s="163"/>
      <c r="L753" s="163"/>
    </row>
    <row r="754">
      <c r="K754" s="163"/>
      <c r="L754" s="163"/>
    </row>
    <row r="755">
      <c r="K755" s="163"/>
      <c r="L755" s="163"/>
    </row>
    <row r="756">
      <c r="K756" s="163"/>
      <c r="L756" s="163"/>
    </row>
    <row r="757">
      <c r="K757" s="163"/>
      <c r="L757" s="163"/>
    </row>
    <row r="758">
      <c r="K758" s="163"/>
      <c r="L758" s="163"/>
    </row>
    <row r="759">
      <c r="K759" s="163"/>
      <c r="L759" s="163"/>
    </row>
    <row r="760">
      <c r="K760" s="163"/>
      <c r="L760" s="163"/>
    </row>
    <row r="761">
      <c r="K761" s="163"/>
      <c r="L761" s="163"/>
    </row>
    <row r="762">
      <c r="K762" s="163"/>
      <c r="L762" s="163"/>
    </row>
    <row r="763">
      <c r="K763" s="163"/>
      <c r="L763" s="163"/>
    </row>
    <row r="764">
      <c r="K764" s="163"/>
      <c r="L764" s="163"/>
    </row>
    <row r="765">
      <c r="K765" s="163"/>
      <c r="L765" s="163"/>
    </row>
    <row r="766">
      <c r="K766" s="163"/>
      <c r="L766" s="163"/>
    </row>
    <row r="767">
      <c r="K767" s="163"/>
      <c r="L767" s="163"/>
    </row>
    <row r="768">
      <c r="K768" s="163"/>
      <c r="L768" s="163"/>
    </row>
    <row r="769">
      <c r="K769" s="163"/>
      <c r="L769" s="163"/>
    </row>
    <row r="770">
      <c r="K770" s="163"/>
      <c r="L770" s="163"/>
    </row>
    <row r="771">
      <c r="K771" s="163"/>
      <c r="L771" s="163"/>
    </row>
    <row r="772">
      <c r="K772" s="163"/>
      <c r="L772" s="163"/>
    </row>
    <row r="773">
      <c r="K773" s="163"/>
      <c r="L773" s="163"/>
    </row>
    <row r="774">
      <c r="K774" s="163"/>
      <c r="L774" s="163"/>
    </row>
    <row r="775">
      <c r="K775" s="163"/>
      <c r="L775" s="163"/>
    </row>
    <row r="776">
      <c r="K776" s="163"/>
      <c r="L776" s="163"/>
    </row>
    <row r="777">
      <c r="K777" s="163"/>
      <c r="L777" s="163"/>
    </row>
    <row r="778">
      <c r="K778" s="163"/>
      <c r="L778" s="163"/>
    </row>
    <row r="779">
      <c r="K779" s="163"/>
      <c r="L779" s="163"/>
    </row>
    <row r="780">
      <c r="K780" s="163"/>
      <c r="L780" s="163"/>
    </row>
    <row r="781">
      <c r="K781" s="163"/>
      <c r="L781" s="163"/>
    </row>
    <row r="782">
      <c r="K782" s="163"/>
      <c r="L782" s="163"/>
    </row>
    <row r="783">
      <c r="K783" s="163"/>
      <c r="L783" s="163"/>
    </row>
    <row r="784">
      <c r="K784" s="163"/>
      <c r="L784" s="163"/>
    </row>
    <row r="785">
      <c r="K785" s="163"/>
      <c r="L785" s="163"/>
    </row>
    <row r="786">
      <c r="K786" s="163"/>
      <c r="L786" s="163"/>
    </row>
    <row r="787">
      <c r="K787" s="163"/>
      <c r="L787" s="163"/>
    </row>
    <row r="788">
      <c r="K788" s="163"/>
      <c r="L788" s="163"/>
    </row>
    <row r="789">
      <c r="K789" s="163"/>
      <c r="L789" s="163"/>
    </row>
    <row r="790">
      <c r="K790" s="163"/>
      <c r="L790" s="163"/>
    </row>
    <row r="791">
      <c r="K791" s="163"/>
      <c r="L791" s="163"/>
    </row>
    <row r="792">
      <c r="K792" s="163"/>
      <c r="L792" s="163"/>
    </row>
    <row r="793">
      <c r="K793" s="163"/>
      <c r="L793" s="163"/>
    </row>
    <row r="794">
      <c r="K794" s="163"/>
      <c r="L794" s="163"/>
    </row>
    <row r="795">
      <c r="K795" s="163"/>
      <c r="L795" s="163"/>
    </row>
    <row r="796">
      <c r="K796" s="163"/>
      <c r="L796" s="163"/>
    </row>
    <row r="797">
      <c r="K797" s="163"/>
      <c r="L797" s="163"/>
    </row>
    <row r="798">
      <c r="K798" s="163"/>
      <c r="L798" s="163"/>
    </row>
    <row r="799">
      <c r="K799" s="163"/>
      <c r="L799" s="163"/>
    </row>
    <row r="800">
      <c r="K800" s="163"/>
      <c r="L800" s="163"/>
    </row>
    <row r="801">
      <c r="K801" s="163"/>
      <c r="L801" s="163"/>
    </row>
    <row r="802">
      <c r="K802" s="163"/>
      <c r="L802" s="163"/>
    </row>
    <row r="803">
      <c r="K803" s="163"/>
      <c r="L803" s="163"/>
    </row>
    <row r="804">
      <c r="K804" s="163"/>
      <c r="L804" s="163"/>
    </row>
    <row r="805">
      <c r="K805" s="163"/>
      <c r="L805" s="163"/>
    </row>
    <row r="806">
      <c r="K806" s="163"/>
      <c r="L806" s="163"/>
    </row>
    <row r="807">
      <c r="K807" s="163"/>
      <c r="L807" s="163"/>
    </row>
    <row r="808">
      <c r="K808" s="163"/>
      <c r="L808" s="163"/>
    </row>
    <row r="809">
      <c r="K809" s="163"/>
      <c r="L809" s="163"/>
    </row>
    <row r="810">
      <c r="K810" s="163"/>
      <c r="L810" s="163"/>
    </row>
    <row r="811">
      <c r="K811" s="163"/>
      <c r="L811" s="163"/>
    </row>
    <row r="812">
      <c r="K812" s="163"/>
      <c r="L812" s="163"/>
    </row>
    <row r="813">
      <c r="K813" s="163"/>
      <c r="L813" s="163"/>
    </row>
    <row r="814">
      <c r="K814" s="163"/>
      <c r="L814" s="163"/>
    </row>
    <row r="815">
      <c r="K815" s="163"/>
      <c r="L815" s="163"/>
    </row>
    <row r="816">
      <c r="K816" s="163"/>
      <c r="L816" s="163"/>
    </row>
    <row r="817">
      <c r="K817" s="163"/>
      <c r="L817" s="163"/>
    </row>
    <row r="818">
      <c r="K818" s="163"/>
      <c r="L818" s="163"/>
    </row>
    <row r="819">
      <c r="K819" s="163"/>
      <c r="L819" s="163"/>
    </row>
    <row r="820">
      <c r="K820" s="163"/>
      <c r="L820" s="163"/>
    </row>
    <row r="821">
      <c r="K821" s="163"/>
      <c r="L821" s="163"/>
    </row>
    <row r="822">
      <c r="K822" s="163"/>
      <c r="L822" s="163"/>
    </row>
    <row r="823">
      <c r="K823" s="163"/>
      <c r="L823" s="163"/>
    </row>
    <row r="824">
      <c r="K824" s="163"/>
      <c r="L824" s="163"/>
    </row>
    <row r="825">
      <c r="K825" s="163"/>
      <c r="L825" s="163"/>
    </row>
    <row r="826">
      <c r="K826" s="163"/>
      <c r="L826" s="163"/>
    </row>
    <row r="827">
      <c r="K827" s="163"/>
      <c r="L827" s="163"/>
    </row>
    <row r="828">
      <c r="K828" s="163"/>
      <c r="L828" s="163"/>
    </row>
    <row r="829">
      <c r="K829" s="163"/>
      <c r="L829" s="163"/>
    </row>
    <row r="830">
      <c r="K830" s="163"/>
      <c r="L830" s="163"/>
    </row>
    <row r="831">
      <c r="K831" s="163"/>
      <c r="L831" s="163"/>
    </row>
    <row r="832">
      <c r="K832" s="163"/>
      <c r="L832" s="163"/>
    </row>
    <row r="833">
      <c r="K833" s="163"/>
      <c r="L833" s="163"/>
    </row>
    <row r="834">
      <c r="K834" s="163"/>
      <c r="L834" s="163"/>
    </row>
    <row r="835">
      <c r="K835" s="163"/>
      <c r="L835" s="163"/>
    </row>
    <row r="836">
      <c r="K836" s="163"/>
      <c r="L836" s="163"/>
    </row>
    <row r="837">
      <c r="K837" s="163"/>
      <c r="L837" s="163"/>
    </row>
    <row r="838">
      <c r="K838" s="163"/>
      <c r="L838" s="163"/>
    </row>
    <row r="839">
      <c r="K839" s="163"/>
      <c r="L839" s="163"/>
    </row>
    <row r="840">
      <c r="K840" s="163"/>
      <c r="L840" s="163"/>
    </row>
    <row r="841">
      <c r="K841" s="163"/>
      <c r="L841" s="163"/>
    </row>
    <row r="842">
      <c r="K842" s="163"/>
      <c r="L842" s="163"/>
    </row>
    <row r="843">
      <c r="K843" s="163"/>
      <c r="L843" s="163"/>
    </row>
    <row r="844">
      <c r="K844" s="163"/>
      <c r="L844" s="163"/>
    </row>
    <row r="845">
      <c r="K845" s="163"/>
      <c r="L845" s="163"/>
    </row>
    <row r="846">
      <c r="K846" s="163"/>
      <c r="L846" s="163"/>
    </row>
    <row r="847">
      <c r="K847" s="163"/>
      <c r="L847" s="163"/>
    </row>
    <row r="848">
      <c r="K848" s="163"/>
      <c r="L848" s="163"/>
    </row>
    <row r="849">
      <c r="K849" s="163"/>
      <c r="L849" s="163"/>
    </row>
    <row r="850">
      <c r="K850" s="163"/>
      <c r="L850" s="163"/>
    </row>
    <row r="851">
      <c r="K851" s="163"/>
      <c r="L851" s="163"/>
    </row>
    <row r="852">
      <c r="K852" s="163"/>
      <c r="L852" s="163"/>
    </row>
    <row r="853">
      <c r="K853" s="163"/>
      <c r="L853" s="163"/>
    </row>
    <row r="854">
      <c r="K854" s="163"/>
      <c r="L854" s="163"/>
    </row>
    <row r="855">
      <c r="K855" s="163"/>
      <c r="L855" s="163"/>
    </row>
    <row r="856">
      <c r="K856" s="163"/>
      <c r="L856" s="163"/>
    </row>
    <row r="857">
      <c r="K857" s="163"/>
      <c r="L857" s="163"/>
    </row>
    <row r="858">
      <c r="K858" s="163"/>
      <c r="L858" s="163"/>
    </row>
    <row r="859">
      <c r="K859" s="163"/>
      <c r="L859" s="163"/>
    </row>
    <row r="860">
      <c r="K860" s="163"/>
      <c r="L860" s="163"/>
    </row>
    <row r="861">
      <c r="K861" s="163"/>
      <c r="L861" s="163"/>
    </row>
    <row r="862">
      <c r="K862" s="163"/>
      <c r="L862" s="163"/>
    </row>
    <row r="863">
      <c r="K863" s="163"/>
      <c r="L863" s="163"/>
    </row>
    <row r="864">
      <c r="K864" s="163"/>
      <c r="L864" s="163"/>
    </row>
    <row r="865">
      <c r="K865" s="163"/>
      <c r="L865" s="163"/>
    </row>
    <row r="866">
      <c r="K866" s="163"/>
      <c r="L866" s="163"/>
    </row>
    <row r="867">
      <c r="K867" s="163"/>
      <c r="L867" s="163"/>
    </row>
    <row r="868">
      <c r="K868" s="163"/>
      <c r="L868" s="163"/>
    </row>
    <row r="869">
      <c r="K869" s="163"/>
      <c r="L869" s="163"/>
    </row>
    <row r="870">
      <c r="K870" s="163"/>
      <c r="L870" s="163"/>
    </row>
    <row r="871">
      <c r="K871" s="163"/>
      <c r="L871" s="163"/>
    </row>
    <row r="872">
      <c r="K872" s="163"/>
      <c r="L872" s="163"/>
    </row>
    <row r="873">
      <c r="K873" s="163"/>
      <c r="L873" s="163"/>
    </row>
    <row r="874">
      <c r="K874" s="163"/>
      <c r="L874" s="163"/>
    </row>
    <row r="875">
      <c r="K875" s="163"/>
      <c r="L875" s="163"/>
    </row>
    <row r="876">
      <c r="K876" s="163"/>
      <c r="L876" s="163"/>
    </row>
    <row r="877">
      <c r="K877" s="163"/>
      <c r="L877" s="163"/>
    </row>
    <row r="878">
      <c r="K878" s="163"/>
      <c r="L878" s="163"/>
    </row>
    <row r="879">
      <c r="K879" s="163"/>
      <c r="L879" s="163"/>
    </row>
    <row r="880">
      <c r="K880" s="163"/>
      <c r="L880" s="163"/>
    </row>
    <row r="881">
      <c r="K881" s="163"/>
      <c r="L881" s="163"/>
    </row>
    <row r="882">
      <c r="K882" s="163"/>
      <c r="L882" s="163"/>
    </row>
    <row r="883">
      <c r="K883" s="163"/>
      <c r="L883" s="163"/>
    </row>
    <row r="884">
      <c r="K884" s="163"/>
      <c r="L884" s="163"/>
    </row>
    <row r="885">
      <c r="K885" s="163"/>
      <c r="L885" s="163"/>
    </row>
    <row r="886">
      <c r="K886" s="163"/>
      <c r="L886" s="163"/>
    </row>
    <row r="887">
      <c r="K887" s="163"/>
      <c r="L887" s="163"/>
    </row>
    <row r="888">
      <c r="K888" s="163"/>
      <c r="L888" s="163"/>
    </row>
    <row r="889">
      <c r="K889" s="163"/>
      <c r="L889" s="163"/>
    </row>
    <row r="890">
      <c r="K890" s="163"/>
      <c r="L890" s="163"/>
    </row>
    <row r="891">
      <c r="K891" s="163"/>
      <c r="L891" s="163"/>
    </row>
    <row r="892">
      <c r="K892" s="163"/>
      <c r="L892" s="163"/>
    </row>
    <row r="893">
      <c r="K893" s="163"/>
      <c r="L893" s="163"/>
    </row>
    <row r="894">
      <c r="K894" s="163"/>
      <c r="L894" s="163"/>
    </row>
    <row r="895">
      <c r="K895" s="163"/>
      <c r="L895" s="163"/>
    </row>
    <row r="896">
      <c r="K896" s="163"/>
      <c r="L896" s="163"/>
    </row>
    <row r="897">
      <c r="K897" s="163"/>
      <c r="L897" s="163"/>
    </row>
    <row r="898">
      <c r="K898" s="163"/>
      <c r="L898" s="163"/>
    </row>
    <row r="899">
      <c r="K899" s="163"/>
      <c r="L899" s="163"/>
    </row>
    <row r="900">
      <c r="K900" s="163"/>
      <c r="L900" s="163"/>
    </row>
    <row r="901">
      <c r="K901" s="163"/>
      <c r="L901" s="163"/>
    </row>
    <row r="902">
      <c r="K902" s="163"/>
      <c r="L902" s="163"/>
    </row>
    <row r="903">
      <c r="K903" s="163"/>
      <c r="L903" s="163"/>
    </row>
    <row r="904">
      <c r="K904" s="163"/>
      <c r="L904" s="163"/>
    </row>
    <row r="905">
      <c r="K905" s="163"/>
      <c r="L905" s="163"/>
    </row>
    <row r="906">
      <c r="K906" s="163"/>
      <c r="L906" s="163"/>
    </row>
    <row r="907">
      <c r="K907" s="163"/>
      <c r="L907" s="163"/>
    </row>
    <row r="908">
      <c r="K908" s="163"/>
      <c r="L908" s="163"/>
    </row>
    <row r="909">
      <c r="K909" s="163"/>
      <c r="L909" s="163"/>
    </row>
    <row r="910">
      <c r="K910" s="163"/>
      <c r="L910" s="163"/>
    </row>
    <row r="911">
      <c r="K911" s="163"/>
      <c r="L911" s="163"/>
    </row>
    <row r="912">
      <c r="K912" s="163"/>
      <c r="L912" s="163"/>
    </row>
    <row r="913">
      <c r="K913" s="163"/>
      <c r="L913" s="163"/>
    </row>
    <row r="914">
      <c r="K914" s="163"/>
      <c r="L914" s="163"/>
    </row>
    <row r="915">
      <c r="K915" s="163"/>
      <c r="L915" s="163"/>
    </row>
    <row r="916">
      <c r="K916" s="163"/>
      <c r="L916" s="163"/>
    </row>
    <row r="917">
      <c r="K917" s="163"/>
      <c r="L917" s="163"/>
    </row>
    <row r="918">
      <c r="K918" s="163"/>
      <c r="L918" s="163"/>
    </row>
    <row r="919">
      <c r="K919" s="163"/>
      <c r="L919" s="163"/>
    </row>
    <row r="920">
      <c r="K920" s="163"/>
      <c r="L920" s="163"/>
    </row>
    <row r="921">
      <c r="K921" s="163"/>
      <c r="L921" s="163"/>
    </row>
    <row r="922">
      <c r="K922" s="163"/>
      <c r="L922" s="163"/>
    </row>
    <row r="923">
      <c r="K923" s="163"/>
      <c r="L923" s="163"/>
    </row>
    <row r="924">
      <c r="K924" s="163"/>
      <c r="L924" s="163"/>
    </row>
    <row r="925">
      <c r="K925" s="163"/>
      <c r="L925" s="163"/>
    </row>
    <row r="926">
      <c r="K926" s="163"/>
      <c r="L926" s="163"/>
    </row>
    <row r="927">
      <c r="K927" s="163"/>
      <c r="L927" s="163"/>
    </row>
    <row r="928">
      <c r="K928" s="163"/>
      <c r="L928" s="163"/>
    </row>
    <row r="929">
      <c r="K929" s="163"/>
      <c r="L929" s="163"/>
    </row>
    <row r="930">
      <c r="K930" s="163"/>
      <c r="L930" s="163"/>
    </row>
    <row r="931">
      <c r="K931" s="163"/>
      <c r="L931" s="163"/>
    </row>
    <row r="932">
      <c r="K932" s="163"/>
      <c r="L932" s="163"/>
    </row>
    <row r="933">
      <c r="K933" s="163"/>
      <c r="L933" s="163"/>
    </row>
    <row r="934">
      <c r="K934" s="163"/>
      <c r="L934" s="163"/>
    </row>
    <row r="935">
      <c r="K935" s="163"/>
      <c r="L935" s="163"/>
    </row>
    <row r="936">
      <c r="K936" s="163"/>
      <c r="L936" s="163"/>
    </row>
    <row r="937">
      <c r="K937" s="163"/>
      <c r="L937" s="163"/>
    </row>
    <row r="938">
      <c r="K938" s="163"/>
      <c r="L938" s="163"/>
    </row>
    <row r="939">
      <c r="K939" s="163"/>
      <c r="L939" s="163"/>
    </row>
    <row r="940">
      <c r="K940" s="163"/>
      <c r="L940" s="163"/>
    </row>
    <row r="941">
      <c r="K941" s="163"/>
      <c r="L941" s="163"/>
    </row>
    <row r="942">
      <c r="K942" s="163"/>
      <c r="L942" s="163"/>
    </row>
    <row r="943">
      <c r="K943" s="163"/>
      <c r="L943" s="163"/>
    </row>
    <row r="944">
      <c r="K944" s="163"/>
      <c r="L944" s="163"/>
    </row>
    <row r="945">
      <c r="K945" s="163"/>
      <c r="L945" s="163"/>
    </row>
    <row r="946">
      <c r="K946" s="163"/>
      <c r="L946" s="163"/>
    </row>
    <row r="947">
      <c r="K947" s="163"/>
      <c r="L947" s="163"/>
    </row>
    <row r="948">
      <c r="K948" s="163"/>
      <c r="L948" s="163"/>
    </row>
    <row r="949">
      <c r="K949" s="163"/>
      <c r="L949" s="163"/>
    </row>
    <row r="950">
      <c r="K950" s="163"/>
      <c r="L950" s="163"/>
    </row>
    <row r="951">
      <c r="K951" s="163"/>
      <c r="L951" s="163"/>
    </row>
    <row r="952">
      <c r="K952" s="163"/>
      <c r="L952" s="163"/>
    </row>
    <row r="953">
      <c r="K953" s="163"/>
      <c r="L953" s="163"/>
    </row>
    <row r="954">
      <c r="K954" s="163"/>
      <c r="L954" s="163"/>
    </row>
    <row r="955">
      <c r="K955" s="163"/>
      <c r="L955" s="163"/>
    </row>
    <row r="956">
      <c r="K956" s="163"/>
      <c r="L956" s="163"/>
    </row>
    <row r="957">
      <c r="K957" s="163"/>
      <c r="L957" s="163"/>
    </row>
    <row r="958">
      <c r="K958" s="163"/>
      <c r="L958" s="163"/>
    </row>
    <row r="959">
      <c r="K959" s="163"/>
      <c r="L959" s="163"/>
    </row>
    <row r="960">
      <c r="K960" s="163"/>
      <c r="L960" s="163"/>
    </row>
    <row r="961">
      <c r="K961" s="163"/>
      <c r="L961" s="163"/>
    </row>
    <row r="962">
      <c r="K962" s="163"/>
      <c r="L962" s="163"/>
    </row>
    <row r="963">
      <c r="K963" s="163"/>
      <c r="L963" s="163"/>
    </row>
    <row r="964">
      <c r="K964" s="163"/>
      <c r="L964" s="163"/>
    </row>
    <row r="965">
      <c r="K965" s="163"/>
      <c r="L965" s="163"/>
    </row>
    <row r="966">
      <c r="K966" s="163"/>
      <c r="L966" s="163"/>
    </row>
    <row r="967">
      <c r="K967" s="163"/>
      <c r="L967" s="163"/>
    </row>
    <row r="968">
      <c r="K968" s="163"/>
      <c r="L968" s="163"/>
    </row>
    <row r="969">
      <c r="K969" s="163"/>
      <c r="L969" s="163"/>
    </row>
    <row r="970">
      <c r="K970" s="163"/>
      <c r="L970" s="163"/>
    </row>
    <row r="971">
      <c r="K971" s="163"/>
      <c r="L971" s="163"/>
    </row>
    <row r="972">
      <c r="K972" s="163"/>
      <c r="L972" s="163"/>
    </row>
    <row r="973">
      <c r="K973" s="163"/>
      <c r="L973" s="163"/>
    </row>
    <row r="974">
      <c r="K974" s="163"/>
      <c r="L974" s="163"/>
    </row>
    <row r="975">
      <c r="K975" s="163"/>
      <c r="L975" s="163"/>
    </row>
    <row r="976">
      <c r="K976" s="163"/>
      <c r="L976" s="163"/>
    </row>
    <row r="977">
      <c r="K977" s="163"/>
      <c r="L977" s="163"/>
    </row>
    <row r="978">
      <c r="K978" s="163"/>
      <c r="L978" s="163"/>
    </row>
    <row r="979">
      <c r="K979" s="163"/>
      <c r="L979" s="163"/>
    </row>
    <row r="980">
      <c r="K980" s="163"/>
      <c r="L980" s="163"/>
    </row>
    <row r="981">
      <c r="K981" s="163"/>
      <c r="L981" s="163"/>
    </row>
    <row r="982">
      <c r="K982" s="163"/>
      <c r="L982" s="163"/>
    </row>
    <row r="983">
      <c r="K983" s="163"/>
      <c r="L983" s="163"/>
    </row>
    <row r="984">
      <c r="K984" s="163"/>
      <c r="L984" s="163"/>
    </row>
    <row r="985">
      <c r="K985" s="163"/>
      <c r="L985" s="163"/>
    </row>
    <row r="986">
      <c r="K986" s="163"/>
      <c r="L986" s="163"/>
    </row>
    <row r="987">
      <c r="K987" s="163"/>
      <c r="L987" s="163"/>
    </row>
    <row r="988">
      <c r="K988" s="163"/>
      <c r="L988" s="163"/>
    </row>
    <row r="989">
      <c r="K989" s="163"/>
      <c r="L989" s="163"/>
    </row>
    <row r="990">
      <c r="K990" s="163"/>
      <c r="L990" s="163"/>
    </row>
    <row r="991">
      <c r="K991" s="163"/>
      <c r="L991" s="163"/>
    </row>
    <row r="992">
      <c r="K992" s="163"/>
      <c r="L992" s="163"/>
    </row>
    <row r="993">
      <c r="K993" s="163"/>
      <c r="L993" s="163"/>
    </row>
    <row r="994">
      <c r="K994" s="163"/>
      <c r="L994" s="163"/>
    </row>
    <row r="995">
      <c r="K995" s="163"/>
      <c r="L995" s="163"/>
    </row>
    <row r="996">
      <c r="K996" s="163"/>
      <c r="L996" s="163"/>
    </row>
    <row r="997">
      <c r="K997" s="163"/>
      <c r="L997" s="163"/>
    </row>
    <row r="998">
      <c r="K998" s="163"/>
      <c r="L998" s="163"/>
    </row>
    <row r="999">
      <c r="K999" s="163"/>
      <c r="L999" s="163"/>
    </row>
    <row r="1000">
      <c r="K1000" s="163"/>
      <c r="L1000" s="163"/>
    </row>
  </sheetData>
  <mergeCells count="277">
    <mergeCell ref="B3:B4"/>
    <mergeCell ref="C3:C4"/>
    <mergeCell ref="A5:A7"/>
    <mergeCell ref="E5:E7"/>
    <mergeCell ref="F5:F7"/>
    <mergeCell ref="G5:G7"/>
    <mergeCell ref="G8:G10"/>
    <mergeCell ref="D5:D7"/>
    <mergeCell ref="D8:D10"/>
    <mergeCell ref="D11:D13"/>
    <mergeCell ref="E11:E13"/>
    <mergeCell ref="F11:F13"/>
    <mergeCell ref="G11:G13"/>
    <mergeCell ref="H11:H13"/>
    <mergeCell ref="J2:J4"/>
    <mergeCell ref="K2:K4"/>
    <mergeCell ref="L2:L4"/>
    <mergeCell ref="M2:M4"/>
    <mergeCell ref="A2:A4"/>
    <mergeCell ref="D2:D4"/>
    <mergeCell ref="E2:E4"/>
    <mergeCell ref="F2:F4"/>
    <mergeCell ref="G2:G4"/>
    <mergeCell ref="H2:H4"/>
    <mergeCell ref="I2:I4"/>
    <mergeCell ref="H5:H7"/>
    <mergeCell ref="I5:I7"/>
    <mergeCell ref="J5:J7"/>
    <mergeCell ref="K5:K7"/>
    <mergeCell ref="L5:L7"/>
    <mergeCell ref="M5:M7"/>
    <mergeCell ref="N5:N7"/>
    <mergeCell ref="O5:O7"/>
    <mergeCell ref="E8:E10"/>
    <mergeCell ref="F8:F10"/>
    <mergeCell ref="H8:H10"/>
    <mergeCell ref="I8:I10"/>
    <mergeCell ref="J8:J10"/>
    <mergeCell ref="K8:K10"/>
    <mergeCell ref="L8:L10"/>
    <mergeCell ref="M8:M10"/>
    <mergeCell ref="I11:I13"/>
    <mergeCell ref="J11:J13"/>
    <mergeCell ref="K11:K13"/>
    <mergeCell ref="L11:L13"/>
    <mergeCell ref="M11:M13"/>
    <mergeCell ref="K29:K31"/>
    <mergeCell ref="L29:L31"/>
    <mergeCell ref="M29:M31"/>
    <mergeCell ref="D29:D31"/>
    <mergeCell ref="E29:E31"/>
    <mergeCell ref="F29:F31"/>
    <mergeCell ref="G29:G31"/>
    <mergeCell ref="H29:H31"/>
    <mergeCell ref="I29:I31"/>
    <mergeCell ref="J29:J31"/>
    <mergeCell ref="K44:K46"/>
    <mergeCell ref="L44:L46"/>
    <mergeCell ref="M44:M46"/>
    <mergeCell ref="D44:D46"/>
    <mergeCell ref="E44:E46"/>
    <mergeCell ref="F44:F46"/>
    <mergeCell ref="G44:G46"/>
    <mergeCell ref="H44:H46"/>
    <mergeCell ref="I44:I46"/>
    <mergeCell ref="J44:J46"/>
    <mergeCell ref="K32:K34"/>
    <mergeCell ref="L32:L34"/>
    <mergeCell ref="M32:M34"/>
    <mergeCell ref="D32:D34"/>
    <mergeCell ref="E32:E34"/>
    <mergeCell ref="F32:F34"/>
    <mergeCell ref="G32:G34"/>
    <mergeCell ref="H32:H34"/>
    <mergeCell ref="I32:I34"/>
    <mergeCell ref="J32:J34"/>
    <mergeCell ref="K35:K37"/>
    <mergeCell ref="L35:L37"/>
    <mergeCell ref="M35:M37"/>
    <mergeCell ref="D35:D37"/>
    <mergeCell ref="E35:E37"/>
    <mergeCell ref="F35:F37"/>
    <mergeCell ref="G35:G37"/>
    <mergeCell ref="H35:H37"/>
    <mergeCell ref="I35:I37"/>
    <mergeCell ref="J35:J37"/>
    <mergeCell ref="K38:K40"/>
    <mergeCell ref="L38:L40"/>
    <mergeCell ref="M38:M40"/>
    <mergeCell ref="D38:D40"/>
    <mergeCell ref="E38:E40"/>
    <mergeCell ref="F38:F40"/>
    <mergeCell ref="G38:G40"/>
    <mergeCell ref="H38:H40"/>
    <mergeCell ref="I38:I40"/>
    <mergeCell ref="J38:J40"/>
    <mergeCell ref="K47:K49"/>
    <mergeCell ref="L47:L49"/>
    <mergeCell ref="M47:M49"/>
    <mergeCell ref="D47:D49"/>
    <mergeCell ref="E47:E49"/>
    <mergeCell ref="F47:F49"/>
    <mergeCell ref="G47:G49"/>
    <mergeCell ref="H47:H49"/>
    <mergeCell ref="I47:I49"/>
    <mergeCell ref="J47:J49"/>
    <mergeCell ref="D53:D55"/>
    <mergeCell ref="E53:E55"/>
    <mergeCell ref="F53:F55"/>
    <mergeCell ref="G53:G55"/>
    <mergeCell ref="H53:H55"/>
    <mergeCell ref="I53:I55"/>
    <mergeCell ref="J53:J55"/>
    <mergeCell ref="A53:A55"/>
    <mergeCell ref="A56:A58"/>
    <mergeCell ref="D56:D58"/>
    <mergeCell ref="E56:E58"/>
    <mergeCell ref="F56:F58"/>
    <mergeCell ref="G56:G58"/>
    <mergeCell ref="H56:H58"/>
    <mergeCell ref="J50:J52"/>
    <mergeCell ref="K50:K52"/>
    <mergeCell ref="L50:L52"/>
    <mergeCell ref="M50:M52"/>
    <mergeCell ref="A50:A52"/>
    <mergeCell ref="D50:D52"/>
    <mergeCell ref="E50:E52"/>
    <mergeCell ref="F50:F52"/>
    <mergeCell ref="G50:G52"/>
    <mergeCell ref="H50:H52"/>
    <mergeCell ref="I50:I52"/>
    <mergeCell ref="K53:K55"/>
    <mergeCell ref="L53:L55"/>
    <mergeCell ref="M53:M55"/>
    <mergeCell ref="I56:I58"/>
    <mergeCell ref="J56:J58"/>
    <mergeCell ref="K56:K58"/>
    <mergeCell ref="L56:L58"/>
    <mergeCell ref="M56:M58"/>
    <mergeCell ref="K59:K61"/>
    <mergeCell ref="L59:L61"/>
    <mergeCell ref="M59:M61"/>
    <mergeCell ref="D59:D61"/>
    <mergeCell ref="E59:E61"/>
    <mergeCell ref="F59:F61"/>
    <mergeCell ref="G59:G61"/>
    <mergeCell ref="H59:H61"/>
    <mergeCell ref="I59:I61"/>
    <mergeCell ref="J59:J61"/>
    <mergeCell ref="I62:I64"/>
    <mergeCell ref="J62:J64"/>
    <mergeCell ref="K62:K64"/>
    <mergeCell ref="L62:L64"/>
    <mergeCell ref="M62:M64"/>
    <mergeCell ref="G71:G73"/>
    <mergeCell ref="H71:H73"/>
    <mergeCell ref="A68:A70"/>
    <mergeCell ref="E68:E70"/>
    <mergeCell ref="F68:F70"/>
    <mergeCell ref="G68:G70"/>
    <mergeCell ref="H68:H70"/>
    <mergeCell ref="I68:I70"/>
    <mergeCell ref="A71:A73"/>
    <mergeCell ref="I71:I73"/>
    <mergeCell ref="D62:D64"/>
    <mergeCell ref="D65:D67"/>
    <mergeCell ref="E65:E67"/>
    <mergeCell ref="F65:F67"/>
    <mergeCell ref="A59:A61"/>
    <mergeCell ref="A62:A64"/>
    <mergeCell ref="E62:E64"/>
    <mergeCell ref="F62:F64"/>
    <mergeCell ref="G62:G64"/>
    <mergeCell ref="H62:H64"/>
    <mergeCell ref="A65:A67"/>
    <mergeCell ref="J68:J70"/>
    <mergeCell ref="K68:K70"/>
    <mergeCell ref="L68:L70"/>
    <mergeCell ref="M68:M70"/>
    <mergeCell ref="N68:N70"/>
    <mergeCell ref="D68:D70"/>
    <mergeCell ref="D71:D73"/>
    <mergeCell ref="E71:E73"/>
    <mergeCell ref="F71:F73"/>
    <mergeCell ref="J71:J73"/>
    <mergeCell ref="K71:K73"/>
    <mergeCell ref="L71:L73"/>
    <mergeCell ref="M71:M73"/>
    <mergeCell ref="S59:S61"/>
    <mergeCell ref="T59:T61"/>
    <mergeCell ref="G65:G67"/>
    <mergeCell ref="H65:H67"/>
    <mergeCell ref="I65:I67"/>
    <mergeCell ref="J65:J67"/>
    <mergeCell ref="K65:K67"/>
    <mergeCell ref="L65:L67"/>
    <mergeCell ref="M65:M67"/>
    <mergeCell ref="K14:K16"/>
    <mergeCell ref="L14:L16"/>
    <mergeCell ref="M14:M16"/>
    <mergeCell ref="D14:D16"/>
    <mergeCell ref="E14:E16"/>
    <mergeCell ref="F14:F16"/>
    <mergeCell ref="G14:G16"/>
    <mergeCell ref="H14:H16"/>
    <mergeCell ref="I14:I16"/>
    <mergeCell ref="J14:J16"/>
    <mergeCell ref="K17:K19"/>
    <mergeCell ref="L17:L19"/>
    <mergeCell ref="M17:M19"/>
    <mergeCell ref="D17:D19"/>
    <mergeCell ref="E17:E19"/>
    <mergeCell ref="F17:F19"/>
    <mergeCell ref="G17:G19"/>
    <mergeCell ref="H17:H19"/>
    <mergeCell ref="I17:I19"/>
    <mergeCell ref="J17:J19"/>
    <mergeCell ref="K20:K22"/>
    <mergeCell ref="L20:L22"/>
    <mergeCell ref="M20:M22"/>
    <mergeCell ref="D20:D22"/>
    <mergeCell ref="E20:E22"/>
    <mergeCell ref="F20:F22"/>
    <mergeCell ref="G20:G22"/>
    <mergeCell ref="H20:H22"/>
    <mergeCell ref="I20:I22"/>
    <mergeCell ref="J20:J22"/>
    <mergeCell ref="K23:K25"/>
    <mergeCell ref="L23:L25"/>
    <mergeCell ref="M23:M25"/>
    <mergeCell ref="D23:D25"/>
    <mergeCell ref="E23:E25"/>
    <mergeCell ref="F23:F25"/>
    <mergeCell ref="G23:G25"/>
    <mergeCell ref="H23:H25"/>
    <mergeCell ref="I23:I25"/>
    <mergeCell ref="J23:J25"/>
    <mergeCell ref="K26:K28"/>
    <mergeCell ref="L26:L28"/>
    <mergeCell ref="M26:M28"/>
    <mergeCell ref="S25:S27"/>
    <mergeCell ref="T25:T27"/>
    <mergeCell ref="D26:D28"/>
    <mergeCell ref="E26:E28"/>
    <mergeCell ref="F26:F28"/>
    <mergeCell ref="G26:G28"/>
    <mergeCell ref="H26:H28"/>
    <mergeCell ref="I26:I28"/>
    <mergeCell ref="J26:J28"/>
    <mergeCell ref="K41:K43"/>
    <mergeCell ref="L41:L43"/>
    <mergeCell ref="M41:M43"/>
    <mergeCell ref="N41:N43"/>
    <mergeCell ref="S41:S43"/>
    <mergeCell ref="T41:T43"/>
    <mergeCell ref="U41:U43"/>
    <mergeCell ref="D41:D43"/>
    <mergeCell ref="E41:E43"/>
    <mergeCell ref="F41:F43"/>
    <mergeCell ref="G41:G43"/>
    <mergeCell ref="H41:H43"/>
    <mergeCell ref="I41:I43"/>
    <mergeCell ref="J41:J43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</mergeCells>
  <hyperlinks>
    <hyperlink r:id="rId1" ref="N5"/>
    <hyperlink r:id="rId2" ref="N19"/>
    <hyperlink r:id="rId3" ref="O26"/>
    <hyperlink r:id="rId4" ref="N41"/>
    <hyperlink r:id="rId5" ref="N68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2022-10-02T07:11:21Z</dcterms:created>
  <dc:creator>Herna</dc:creator>
</cp:coreProperties>
</file>